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87C53C4D-DA29-4982-A784-8A45569A3F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690" sheetId="1" r:id="rId1"/>
  </sheets>
  <definedNames>
    <definedName name="_Regression_Int" localSheetId="0" hidden="1">1</definedName>
    <definedName name="_xlnm.Print_Area" localSheetId="0">'MIP2690'!$A$7:$BA$57</definedName>
    <definedName name="MIPK">'MIP2690'!$A$7:$BA$57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56" i="1" l="1"/>
  <c r="AZ55" i="1"/>
  <c r="AZ54" i="1"/>
</calcChain>
</file>

<file path=xl/sharedStrings.xml><?xml version="1.0" encoding="utf-8"?>
<sst xmlns="http://schemas.openxmlformats.org/spreadsheetml/2006/main" count="113" uniqueCount="78">
  <si>
    <t>DERECHOS ARANCELARIOS SOBRE IMPORTACIÓN</t>
  </si>
  <si>
    <t>IMPUESTO A LAS TRANSACCIONES Y OTROS IMPUESTOS A LOS PRODUCTOS Y LAS IMPORTACIONES</t>
  </si>
  <si>
    <t>MÁRGENES DE COMERCIALIZACIÓN Y TRANSPORTE</t>
  </si>
  <si>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</si>
  <si>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</si>
  <si>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</si>
  <si>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</si>
  <si>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</si>
  <si>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</si>
  <si>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</si>
  <si>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</si>
  <si>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</si>
  <si>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</si>
  <si>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</si>
  <si>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</si>
  <si>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</si>
  <si>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</si>
  <si>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</si>
  <si>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</si>
  <si>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</si>
  <si>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</si>
  <si>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</si>
  <si>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</si>
  <si>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</si>
  <si>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</si>
  <si>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</si>
  <si>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</si>
  <si>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</si>
  <si>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</si>
  <si>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</si>
  <si>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</si>
  <si>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</si>
  <si>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</si>
  <si>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</si>
  <si>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</si>
  <si>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</si>
  <si>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</si>
  <si>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</si>
  <si>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</si>
  <si>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</si>
  <si>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</si>
  <si>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</si>
  <si>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</si>
  <si>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</si>
  <si>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</si>
  <si>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</si>
  <si>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</si>
  <si>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</si>
  <si>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</si>
  <si>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</si>
  <si>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</si>
  <si>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</si>
  <si>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</si>
  <si>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r>
      <t xml:space="preserve">CONSUMO INTERMEDIO POR ACTIVIDAD ECONÓMICA </t>
    </r>
    <r>
      <rPr>
        <sz val="6"/>
        <color indexed="8"/>
        <rFont val="Arial Narrow"/>
        <family val="2"/>
      </rPr>
      <t>(a precios de comprador)</t>
    </r>
  </si>
  <si>
    <t>Fuente: INSTITUTO NACIONAL DE ESTADÍSTICA</t>
  </si>
  <si>
    <r>
      <t xml:space="preserve">PRODUCCIÓN BRUTA POR ACTIVIDAD ECONÓMICA </t>
    </r>
    <r>
      <rPr>
        <sz val="6"/>
        <color indexed="8"/>
        <rFont val="Arial Narrow"/>
        <family val="2"/>
      </rPr>
      <t>(a precios básicos)</t>
    </r>
  </si>
  <si>
    <t>(p): Preliminar</t>
  </si>
  <si>
    <r>
      <t>VALOR AGREGADO BRUTO</t>
    </r>
    <r>
      <rPr>
        <sz val="8"/>
        <color indexed="8"/>
        <rFont val="Arial Narrow"/>
        <family val="2"/>
      </rPr>
      <t xml:space="preserve"> </t>
    </r>
    <r>
      <rPr>
        <sz val="6"/>
        <color indexed="8"/>
        <rFont val="Arial Narrow"/>
        <family val="2"/>
      </rPr>
      <t>(a precios básicos)</t>
    </r>
  </si>
  <si>
    <r>
      <t>PIB</t>
    </r>
    <r>
      <rPr>
        <sz val="6"/>
        <color indexed="8"/>
        <rFont val="Arial Narrow"/>
        <family val="2"/>
      </rPr>
      <t xml:space="preserve"> = Producto Interno Bruto, </t>
    </r>
    <r>
      <rPr>
        <b/>
        <sz val="6"/>
        <color indexed="8"/>
        <rFont val="Arial Narrow"/>
        <family val="2"/>
      </rPr>
      <t>VAB</t>
    </r>
    <r>
      <rPr>
        <sz val="6"/>
        <color indexed="8"/>
        <rFont val="Arial Narrow"/>
        <family val="2"/>
      </rPr>
      <t xml:space="preserve"> = Valor Agregado Bruto, </t>
    </r>
    <r>
      <rPr>
        <b/>
        <sz val="6"/>
        <color indexed="8"/>
        <rFont val="Arial Narrow"/>
        <family val="2"/>
      </rPr>
      <t>VBP</t>
    </r>
    <r>
      <rPr>
        <sz val="6"/>
        <color indexed="8"/>
        <rFont val="Arial Narrow"/>
        <family val="2"/>
      </rPr>
      <t xml:space="preserve"> = Valor Bruto de Producción</t>
    </r>
  </si>
  <si>
    <r>
      <t xml:space="preserve">CF = </t>
    </r>
    <r>
      <rPr>
        <sz val="6"/>
        <color indexed="8"/>
        <rFont val="Arial Narrow"/>
        <family val="2"/>
      </rPr>
      <t>Consumo final (Gobierno y hogares),</t>
    </r>
    <r>
      <rPr>
        <b/>
        <sz val="6"/>
        <color indexed="8"/>
        <rFont val="Arial Narrow"/>
        <family val="2"/>
      </rPr>
      <t xml:space="preserve"> FBCF</t>
    </r>
    <r>
      <rPr>
        <sz val="6"/>
        <color indexed="8"/>
        <rFont val="Arial Narrow"/>
        <family val="2"/>
      </rPr>
      <t xml:space="preserve"> = Formación Bruta de Capital Fijo, </t>
    </r>
    <r>
      <rPr>
        <b/>
        <sz val="6"/>
        <color indexed="8"/>
        <rFont val="Arial Narrow"/>
        <family val="2"/>
      </rPr>
      <t>VE</t>
    </r>
    <r>
      <rPr>
        <sz val="6"/>
        <color indexed="8"/>
        <rFont val="Arial Narrow"/>
        <family val="2"/>
      </rPr>
      <t xml:space="preserve"> = Variación de Existencias, </t>
    </r>
    <r>
      <rPr>
        <b/>
        <sz val="6"/>
        <color indexed="8"/>
        <rFont val="Arial Narrow"/>
        <family val="2"/>
      </rPr>
      <t>M =</t>
    </r>
    <r>
      <rPr>
        <sz val="6"/>
        <color indexed="8"/>
        <rFont val="Arial Narrow"/>
        <family val="2"/>
      </rPr>
      <t xml:space="preserve"> Importaciones, </t>
    </r>
    <r>
      <rPr>
        <b/>
        <sz val="6"/>
        <color indexed="8"/>
        <rFont val="Arial Narrow"/>
        <family val="2"/>
      </rPr>
      <t>X</t>
    </r>
    <r>
      <rPr>
        <sz val="6"/>
        <color indexed="8"/>
        <rFont val="Arial Narrow"/>
        <family val="2"/>
      </rPr>
      <t xml:space="preserve"> = Exportaciones, </t>
    </r>
    <r>
      <rPr>
        <b/>
        <sz val="6"/>
        <color indexed="8"/>
        <rFont val="Arial Narrow"/>
        <family val="2"/>
      </rPr>
      <t>TCIAE</t>
    </r>
    <r>
      <rPr>
        <sz val="6"/>
        <color indexed="8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</si>
  <si>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color indexed="8"/>
        <rFont val="Arial Narrow"/>
        <family val="2"/>
      </rPr>
      <t xml:space="preserve">= Impuesto al Valor Agregado,  </t>
    </r>
    <r>
      <rPr>
        <b/>
        <sz val="6"/>
        <color indexed="8"/>
        <rFont val="Arial Narrow"/>
        <family val="2"/>
      </rPr>
      <t>IT</t>
    </r>
    <r>
      <rPr>
        <sz val="6"/>
        <color indexed="8"/>
        <rFont val="Arial Narrow"/>
        <family val="2"/>
      </rPr>
      <t xml:space="preserve"> = Impuesto a las Transacciones, </t>
    </r>
    <r>
      <rPr>
        <b/>
        <sz val="6"/>
        <color indexed="8"/>
        <rFont val="Arial Narrow"/>
        <family val="2"/>
      </rPr>
      <t>DER s/M</t>
    </r>
    <r>
      <rPr>
        <sz val="6"/>
        <color indexed="8"/>
        <rFont val="Arial Narrow"/>
        <family val="2"/>
      </rPr>
      <t xml:space="preserve"> = Derechos sobre importaciones, </t>
    </r>
    <r>
      <rPr>
        <b/>
        <sz val="6"/>
        <color indexed="8"/>
        <rFont val="Arial Narrow"/>
        <family val="2"/>
      </rPr>
      <t>OIPM</t>
    </r>
    <r>
      <rPr>
        <sz val="6"/>
        <color indexed="8"/>
        <rFont val="Arial Narrow"/>
        <family val="2"/>
      </rPr>
      <t xml:space="preserve"> = Otros Impuestos a los Productos y las Importaciones</t>
    </r>
  </si>
  <si>
    <t>P I B (pc)  =  C F (pc)  +  F B C F (pc)  +  V E (pc)  +  X (pc)  -  M (pc)</t>
  </si>
  <si>
    <r>
      <t xml:space="preserve">(pc) = </t>
    </r>
    <r>
      <rPr>
        <sz val="6"/>
        <color indexed="8"/>
        <rFont val="Arial Narrow"/>
        <family val="2"/>
      </rPr>
      <t xml:space="preserve">Precios de comprador, </t>
    </r>
    <r>
      <rPr>
        <b/>
        <sz val="6"/>
        <color indexed="8"/>
        <rFont val="Arial Narrow"/>
        <family val="2"/>
      </rPr>
      <t>(pb)</t>
    </r>
    <r>
      <rPr>
        <sz val="6"/>
        <color indexed="8"/>
        <rFont val="Arial Narrow"/>
        <family val="2"/>
      </rPr>
      <t xml:space="preserve"> = Precios básicos, </t>
    </r>
    <r>
      <rPr>
        <b/>
        <sz val="6"/>
        <color indexed="8"/>
        <rFont val="Arial Narrow"/>
        <family val="2"/>
      </rPr>
      <t>(nd)</t>
    </r>
    <r>
      <rPr>
        <sz val="6"/>
        <color indexed="8"/>
        <rFont val="Arial Narrow"/>
        <family val="2"/>
      </rPr>
      <t xml:space="preserve"> = No deducible</t>
    </r>
  </si>
  <si>
    <t>P I B (pc)  =  V A B (pb)  +  D E R  s / M  +  I V A (nd)  +  I T  y  O I P M</t>
  </si>
  <si>
    <r>
      <t xml:space="preserve">Valor CIF = </t>
    </r>
    <r>
      <rPr>
        <sz val="6"/>
        <color indexed="8"/>
        <rFont val="Arial Narrow"/>
        <family val="2"/>
      </rPr>
      <t>El valor de mercado en las fronteras aduaneras de un país de las importaciones de mercaderías, otros bienes, etc.</t>
    </r>
  </si>
  <si>
    <t>P I B (pc)  =  V B P (pb)  +  D E R  s / M  +  I V A (nd)  +  I T  y  O I P M  -  T C I A E (pc)</t>
  </si>
  <si>
    <r>
      <t xml:space="preserve">Valor FOB = </t>
    </r>
    <r>
      <rPr>
        <sz val="6"/>
        <color indexed="8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</si>
  <si>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</si>
  <si>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01.19</t>
  </si>
  <si>
    <t>BOLIVIA : MATRIZ DE INSUMO - PRODUCTO A PRECIOS CONSTANTES, 2006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</si>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</sst>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Courier"/>
      <family val="3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8"/>
      <name val="Arial Narrow"/>
      <family val="2"/>
    </font>
    <font>
      <b/>
      <sz val="6"/>
      <color indexed="8"/>
      <name val="Arial Narrow"/>
      <family val="2"/>
    </font>
    <font>
      <sz val="6"/>
      <color indexed="8"/>
      <name val="Arial Narrow"/>
      <family val="2"/>
    </font>
    <font>
      <b/>
      <sz val="8"/>
      <color indexed="8"/>
      <name val="Arial"/>
      <family val="2"/>
    </font>
    <font>
      <sz val="6"/>
      <name val="Arial Narrow"/>
      <family val="2"/>
    </font>
    <font>
      <b/>
      <sz val="7"/>
      <color indexed="8"/>
      <name val="Arial Narrow"/>
      <family val="2"/>
    </font>
    <font>
      <sz val="7"/>
      <name val="Arial Narrow"/>
      <family val="2"/>
    </font>
    <font>
      <sz val="12"/>
      <color indexed="8"/>
      <name val="Courier"/>
      <family val="3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</cellStyleXfs>
  <cellXfs count="57">
    <xf numFmtId="0" fontId="0" fillId="0" borderId="0" xfId="0"/>
    <xf numFmtId="0" fontId="2" fillId="0" borderId="0" xfId="0" applyFont="1" applyFill="1"/>
    <xf numFmtId="0" fontId="3" fillId="0" borderId="0" xfId="0" applyFont="1"/>
    <xf numFmtId="0" fontId="5" fillId="0" borderId="0" xfId="0" applyFont="1" applyFill="1"/>
    <xf numFmtId="0" fontId="7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Fill="1" applyBorder="1"/>
    <xf numFmtId="37" fontId="2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2" fillId="0" borderId="4" xfId="0" applyNumberFormat="1" applyFont="1" applyFill="1" applyBorder="1" applyAlignment="1">
      <alignment vertical="center" wrapText="1"/>
    </xf>
    <xf numFmtId="37" fontId="1" fillId="0" borderId="5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1" fillId="0" borderId="5" xfId="0" applyNumberFormat="1" applyFont="1" applyFill="1" applyBorder="1" applyAlignment="1" applyProtection="1">
      <alignment vertical="center" wrapText="1"/>
    </xf>
    <xf numFmtId="37" fontId="4" fillId="0" borderId="5" xfId="0" applyNumberFormat="1" applyFont="1" applyFill="1" applyBorder="1" applyAlignment="1" applyProtection="1">
      <alignment vertical="center"/>
    </xf>
    <xf numFmtId="0" fontId="1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vertical="center"/>
    </xf>
    <xf numFmtId="0" fontId="9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37" fontId="1" fillId="0" borderId="5" xfId="0" applyNumberFormat="1" applyFont="1" applyFill="1" applyBorder="1" applyAlignment="1" applyProtection="1">
      <alignment vertical="center"/>
    </xf>
    <xf numFmtId="37" fontId="2" fillId="0" borderId="0" xfId="0" applyNumberFormat="1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10" fontId="2" fillId="0" borderId="5" xfId="0" applyNumberFormat="1" applyFont="1" applyFill="1" applyBorder="1" applyAlignment="1" applyProtection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4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>
      <alignment vertical="center" wrapText="1"/>
    </xf>
    <xf numFmtId="37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 applyFill="1" applyBorder="1" applyAlignment="1">
      <alignment vertical="center" wrapText="1"/>
    </xf>
    <xf numFmtId="10" fontId="2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Fill="1" applyBorder="1" applyAlignment="1" applyProtection="1">
      <alignment vertical="center"/>
    </xf>
    <xf numFmtId="37" fontId="6" fillId="0" borderId="7" xfId="0" applyNumberFormat="1" applyFont="1" applyFill="1" applyBorder="1" applyAlignment="1" applyProtection="1">
      <alignment horizontal="center" vertical="center" wrapText="1"/>
    </xf>
    <xf numFmtId="37" fontId="6" fillId="0" borderId="8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37" fontId="6" fillId="0" borderId="6" xfId="0" applyNumberFormat="1" applyFont="1" applyFill="1" applyBorder="1" applyAlignment="1" applyProtection="1">
      <alignment horizontal="left" vertical="center" wrapText="1"/>
    </xf>
    <xf numFmtId="37" fontId="6" fillId="0" borderId="7" xfId="0" applyNumberFormat="1" applyFont="1" applyFill="1" applyBorder="1" applyAlignment="1" applyProtection="1">
      <alignment horizontal="left" vertical="center" wrapText="1"/>
    </xf>
    <xf numFmtId="37" fontId="6" fillId="0" borderId="9" xfId="0" applyNumberFormat="1" applyFont="1" applyFill="1" applyBorder="1" applyAlignment="1" applyProtection="1">
      <alignment horizontal="left" vertical="center" wrapText="1"/>
    </xf>
    <xf numFmtId="37" fontId="6" fillId="0" borderId="0" xfId="0" applyNumberFormat="1" applyFont="1" applyFill="1" applyBorder="1" applyAlignment="1" applyProtection="1">
      <alignment horizontal="left" vertical="center" wrapText="1"/>
    </xf>
    <xf numFmtId="37" fontId="6" fillId="0" borderId="0" xfId="0" applyNumberFormat="1" applyFont="1" applyFill="1" applyBorder="1" applyAlignment="1" applyProtection="1">
      <alignment horizontal="center" vertical="center" wrapText="1"/>
    </xf>
    <xf numFmtId="37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wrapText="1"/>
    </xf>
    <xf numFmtId="0" fontId="6" fillId="0" borderId="11" xfId="0" applyFont="1" applyFill="1" applyBorder="1" applyAlignment="1" applyProtection="1">
      <alignment horizontal="left" vertical="center" wrapText="1"/>
    </xf>
    <xf numFmtId="37" fontId="6" fillId="0" borderId="11" xfId="0" applyNumberFormat="1" applyFont="1" applyFill="1" applyBorder="1" applyAlignment="1" applyProtection="1">
      <alignment horizontal="center" vertical="center" wrapText="1"/>
    </xf>
    <xf numFmtId="37" fontId="6" fillId="0" borderId="3" xfId="0" applyNumberFormat="1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textRotation="180" wrapText="1"/>
    </xf>
    <xf numFmtId="0" fontId="12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2" name="WordArt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3" name="WordArt 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175518</xdr:colOff>
      <xdr:row>5</xdr:row>
      <xdr:rowOff>53975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5D2740-F382-4DBB-AA3F-C7002989F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200212</xdr:colOff>
      <xdr:row>0</xdr:row>
      <xdr:rowOff>0</xdr:rowOff>
    </xdr:from>
    <xdr:to>
      <xdr:col>2</xdr:col>
      <xdr:colOff>98025</xdr:colOff>
      <xdr:row>5</xdr:row>
      <xdr:rowOff>61979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1FEA443-7F9D-4CD7-98F2-34DE03FC8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6" name="WordArt 33">
          <a:extLst>
            <a:ext uri="{FF2B5EF4-FFF2-40B4-BE49-F238E27FC236}">
              <a16:creationId xmlns:a16="http://schemas.microsoft.com/office/drawing/2014/main" id="{DDE8FA07-FD6B-4049-9E5E-3CCEBBDFA32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7" name="WordArt 34">
          <a:extLst>
            <a:ext uri="{FF2B5EF4-FFF2-40B4-BE49-F238E27FC236}">
              <a16:creationId xmlns:a16="http://schemas.microsoft.com/office/drawing/2014/main" id="{E461C2EC-681F-493A-94C5-8C8CCF9B34D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8" name="WordArt 33">
          <a:extLst>
            <a:ext uri="{FF2B5EF4-FFF2-40B4-BE49-F238E27FC236}">
              <a16:creationId xmlns:a16="http://schemas.microsoft.com/office/drawing/2014/main" id="{39A5D781-7A26-4E38-8AF6-3A76B8EC911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9" name="WordArt 34">
          <a:extLst>
            <a:ext uri="{FF2B5EF4-FFF2-40B4-BE49-F238E27FC236}">
              <a16:creationId xmlns:a16="http://schemas.microsoft.com/office/drawing/2014/main" id="{34E32FDE-58AB-4177-9AA0-CA32B916E23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11">
          <a:extLst>
            <a:ext uri="{FF2B5EF4-FFF2-40B4-BE49-F238E27FC236}">
              <a16:creationId xmlns:a16="http://schemas.microsoft.com/office/drawing/2014/main" id="{015A4B1E-CA80-4BD4-9AA7-D82FB980879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12">
          <a:extLst>
            <a:ext uri="{FF2B5EF4-FFF2-40B4-BE49-F238E27FC236}">
              <a16:creationId xmlns:a16="http://schemas.microsoft.com/office/drawing/2014/main" id="{858E2C5E-0BAA-4E8C-AFBB-97CB1DF717D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2BA405B7-EDA0-42B1-A603-2E7219A1DFD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541607C5-ADBB-4C49-8186-09EF49FA9D7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180AB5FE-1ED7-45A9-B86D-6673CEB7C46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72AD7AEE-1D7C-4100-BAEE-1E626C4369B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B223"/>
  <sheetViews>
    <sheetView showGridLines="0" tabSelected="1" zoomScale="120" zoomScaleNormal="120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2" customWidth="1"/>
    <col min="8" max="8" width="27.88671875" style="2" customWidth="1"/>
    <col min="9" max="30" width="7.5546875" style="2" customWidth="1"/>
    <col min="31" max="31" width="7.21875" style="2" customWidth="1"/>
    <col min="32" max="46" width="7.5546875" style="2" customWidth="1"/>
    <col min="47" max="47" width="7.44140625" style="2" customWidth="1"/>
    <col min="48" max="52" width="7.5546875" style="2" customWidth="1"/>
    <col min="53" max="53" width="3" style="2" customWidth="1"/>
    <col min="54" max="54" width="1.77734375" style="2" customWidth="1"/>
    <col min="55" max="16384" width="13.77734375" style="2"/>
  </cols>
  <sheetData>
    <row r="6" spans="1:54" x14ac:dyDescent="0.25">
      <c r="A6" s="35" t="s">
        <v>68</v>
      </c>
    </row>
    <row r="7" spans="1:54" x14ac:dyDescent="0.25">
      <c r="A7" s="35" t="s">
        <v>69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35" t="s">
        <v>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s="4" customFormat="1" ht="11.25" customHeight="1" x14ac:dyDescent="0.15">
      <c r="A9" s="50" t="s">
        <v>70</v>
      </c>
      <c r="B9" s="50" t="s">
        <v>71</v>
      </c>
      <c r="C9" s="50" t="s">
        <v>0</v>
      </c>
      <c r="D9" s="50" t="s">
        <v>72</v>
      </c>
      <c r="E9" s="50" t="s">
        <v>1</v>
      </c>
      <c r="F9" s="51" t="s">
        <v>2</v>
      </c>
      <c r="G9" s="52" t="s">
        <v>73</v>
      </c>
      <c r="H9" s="53"/>
      <c r="I9" s="50" t="s">
        <v>3</v>
      </c>
      <c r="J9" s="50" t="s">
        <v>4</v>
      </c>
      <c r="K9" s="50" t="s">
        <v>5</v>
      </c>
      <c r="L9" s="50" t="s">
        <v>6</v>
      </c>
      <c r="M9" s="50" t="s">
        <v>7</v>
      </c>
      <c r="N9" s="50" t="s">
        <v>8</v>
      </c>
      <c r="O9" s="50" t="s">
        <v>9</v>
      </c>
      <c r="P9" s="50" t="s">
        <v>10</v>
      </c>
      <c r="Q9" s="50" t="s">
        <v>11</v>
      </c>
      <c r="R9" s="50" t="s">
        <v>12</v>
      </c>
      <c r="S9" s="50" t="s">
        <v>13</v>
      </c>
      <c r="T9" s="50" t="s">
        <v>14</v>
      </c>
      <c r="U9" s="50" t="s">
        <v>15</v>
      </c>
      <c r="V9" s="50" t="s">
        <v>16</v>
      </c>
      <c r="W9" s="50" t="s">
        <v>17</v>
      </c>
      <c r="X9" s="50" t="s">
        <v>18</v>
      </c>
      <c r="Y9" s="50" t="s">
        <v>19</v>
      </c>
      <c r="Z9" s="50" t="s">
        <v>20</v>
      </c>
      <c r="AA9" s="50" t="s">
        <v>21</v>
      </c>
      <c r="AB9" s="50" t="s">
        <v>22</v>
      </c>
      <c r="AC9" s="50" t="s">
        <v>23</v>
      </c>
      <c r="AD9" s="50" t="s">
        <v>24</v>
      </c>
      <c r="AE9" s="50" t="s">
        <v>25</v>
      </c>
      <c r="AF9" s="50" t="s">
        <v>26</v>
      </c>
      <c r="AG9" s="50" t="s">
        <v>27</v>
      </c>
      <c r="AH9" s="50" t="s">
        <v>28</v>
      </c>
      <c r="AI9" s="50" t="s">
        <v>29</v>
      </c>
      <c r="AJ9" s="50" t="s">
        <v>30</v>
      </c>
      <c r="AK9" s="50" t="s">
        <v>31</v>
      </c>
      <c r="AL9" s="50" t="s">
        <v>32</v>
      </c>
      <c r="AM9" s="50" t="s">
        <v>33</v>
      </c>
      <c r="AN9" s="50" t="s">
        <v>34</v>
      </c>
      <c r="AO9" s="50" t="s">
        <v>35</v>
      </c>
      <c r="AP9" s="50" t="s">
        <v>36</v>
      </c>
      <c r="AQ9" s="50" t="s">
        <v>37</v>
      </c>
      <c r="AR9" s="51" t="s">
        <v>38</v>
      </c>
      <c r="AS9" s="52" t="s">
        <v>74</v>
      </c>
      <c r="AT9" s="54" t="s">
        <v>39</v>
      </c>
      <c r="AU9" s="54"/>
      <c r="AV9" s="54"/>
      <c r="AW9" s="54"/>
      <c r="AX9" s="54"/>
      <c r="AY9" s="54"/>
      <c r="AZ9" s="52" t="s">
        <v>75</v>
      </c>
      <c r="BA9" s="55" t="s">
        <v>40</v>
      </c>
      <c r="BB9" s="3"/>
    </row>
    <row r="10" spans="1:54" s="6" customFormat="1" ht="8.25" customHeight="1" x14ac:dyDescent="0.2">
      <c r="A10" s="50"/>
      <c r="B10" s="50"/>
      <c r="C10" s="50"/>
      <c r="D10" s="50"/>
      <c r="E10" s="50"/>
      <c r="F10" s="51"/>
      <c r="G10" s="52"/>
      <c r="H10" s="5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1"/>
      <c r="AS10" s="52"/>
      <c r="AT10" s="50" t="s">
        <v>41</v>
      </c>
      <c r="AU10" s="50"/>
      <c r="AV10" s="50" t="s">
        <v>42</v>
      </c>
      <c r="AW10" s="50" t="s">
        <v>43</v>
      </c>
      <c r="AX10" s="50" t="s">
        <v>76</v>
      </c>
      <c r="AY10" s="52" t="s">
        <v>77</v>
      </c>
      <c r="AZ10" s="52"/>
      <c r="BA10" s="55"/>
      <c r="BB10" s="5"/>
    </row>
    <row r="11" spans="1:54" s="4" customFormat="1" ht="42.75" customHeight="1" x14ac:dyDescent="0.15">
      <c r="A11" s="50"/>
      <c r="B11" s="50"/>
      <c r="C11" s="50"/>
      <c r="D11" s="50"/>
      <c r="E11" s="50"/>
      <c r="F11" s="51"/>
      <c r="G11" s="52"/>
      <c r="H11" s="5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52"/>
      <c r="AT11" s="56" t="s">
        <v>44</v>
      </c>
      <c r="AU11" s="56" t="s">
        <v>45</v>
      </c>
      <c r="AV11" s="50"/>
      <c r="AW11" s="50"/>
      <c r="AX11" s="50"/>
      <c r="AY11" s="52"/>
      <c r="AZ11" s="52"/>
      <c r="BA11" s="55"/>
      <c r="BB11" s="7"/>
    </row>
    <row r="12" spans="1:54" s="13" customFormat="1" x14ac:dyDescent="0.2">
      <c r="A12" s="8">
        <v>2244639.5226304429</v>
      </c>
      <c r="B12" s="8">
        <v>403607.23843721359</v>
      </c>
      <c r="C12" s="8">
        <v>3294.9274225964732</v>
      </c>
      <c r="D12" s="8">
        <v>1037.3433493145205</v>
      </c>
      <c r="E12" s="8">
        <v>4573.7078897544698</v>
      </c>
      <c r="F12" s="8">
        <v>475074.89861983038</v>
      </c>
      <c r="G12" s="8">
        <v>3132227.6383491522</v>
      </c>
      <c r="H12" s="9" t="s">
        <v>3</v>
      </c>
      <c r="I12" s="8">
        <v>315354.10349388578</v>
      </c>
      <c r="J12" s="8">
        <v>0</v>
      </c>
      <c r="K12" s="8">
        <v>0</v>
      </c>
      <c r="L12" s="8">
        <v>285247.19872480514</v>
      </c>
      <c r="M12" s="8">
        <v>0</v>
      </c>
      <c r="N12" s="8">
        <v>0</v>
      </c>
      <c r="O12" s="8">
        <v>0</v>
      </c>
      <c r="P12" s="8">
        <v>2516.8053934004497</v>
      </c>
      <c r="Q12" s="8">
        <v>0</v>
      </c>
      <c r="R12" s="8">
        <v>732901.44218846003</v>
      </c>
      <c r="S12" s="8">
        <v>15372.99791882076</v>
      </c>
      <c r="T12" s="8">
        <v>171011.6562407758</v>
      </c>
      <c r="U12" s="8">
        <v>90178.121555256555</v>
      </c>
      <c r="V12" s="8">
        <v>0</v>
      </c>
      <c r="W12" s="8">
        <v>215.98111517012973</v>
      </c>
      <c r="X12" s="8">
        <v>0</v>
      </c>
      <c r="Y12" s="8">
        <v>0</v>
      </c>
      <c r="Z12" s="8">
        <v>638.82226932608694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51014.533723515764</v>
      </c>
      <c r="AO12" s="8">
        <v>30315.757164597228</v>
      </c>
      <c r="AP12" s="8">
        <v>0</v>
      </c>
      <c r="AQ12" s="8">
        <v>42254.961692594712</v>
      </c>
      <c r="AR12" s="8">
        <v>0</v>
      </c>
      <c r="AS12" s="8">
        <v>1737022.3814806084</v>
      </c>
      <c r="AT12" s="8">
        <v>1543192.3503680336</v>
      </c>
      <c r="AU12" s="8">
        <v>0</v>
      </c>
      <c r="AV12" s="8">
        <v>2109.9655406930242</v>
      </c>
      <c r="AW12" s="8">
        <v>-231268.37242427538</v>
      </c>
      <c r="AX12" s="8">
        <v>81171.313384092151</v>
      </c>
      <c r="AY12" s="10">
        <v>1395205.2568685433</v>
      </c>
      <c r="AZ12" s="8">
        <v>3132227.6383491517</v>
      </c>
      <c r="BA12" s="11" t="s">
        <v>46</v>
      </c>
      <c r="BB12" s="12"/>
    </row>
    <row r="13" spans="1:54" s="13" customFormat="1" x14ac:dyDescent="0.2">
      <c r="A13" s="8">
        <v>1176975.4532617275</v>
      </c>
      <c r="B13" s="8">
        <v>99167.869311831979</v>
      </c>
      <c r="C13" s="8">
        <v>1189.8102448510153</v>
      </c>
      <c r="D13" s="8">
        <v>29.565096224718022</v>
      </c>
      <c r="E13" s="8">
        <v>8411.5496439209874</v>
      </c>
      <c r="F13" s="8">
        <v>71997.429552475267</v>
      </c>
      <c r="G13" s="8">
        <v>1357771.6771110315</v>
      </c>
      <c r="H13" s="14" t="s">
        <v>4</v>
      </c>
      <c r="I13" s="8">
        <v>0</v>
      </c>
      <c r="J13" s="8">
        <v>116958.15678169559</v>
      </c>
      <c r="K13" s="8">
        <v>0</v>
      </c>
      <c r="L13" s="8">
        <v>9933.4554826474923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271345.49344838993</v>
      </c>
      <c r="T13" s="8">
        <v>792671.4159145134</v>
      </c>
      <c r="U13" s="8">
        <v>3332.2107469726629</v>
      </c>
      <c r="V13" s="8">
        <v>2911.7415769941199</v>
      </c>
      <c r="W13" s="8">
        <v>7208.6526187151449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1204361.1265699284</v>
      </c>
      <c r="AT13" s="8">
        <v>3672.5992122491771</v>
      </c>
      <c r="AU13" s="8">
        <v>0</v>
      </c>
      <c r="AV13" s="8">
        <v>8454.2185450359229</v>
      </c>
      <c r="AW13" s="8">
        <v>79708.71779775586</v>
      </c>
      <c r="AX13" s="8">
        <v>61575.014986061789</v>
      </c>
      <c r="AY13" s="10">
        <v>153410.55054110274</v>
      </c>
      <c r="AZ13" s="8">
        <v>1357771.677111031</v>
      </c>
      <c r="BA13" s="11" t="s">
        <v>47</v>
      </c>
      <c r="BB13" s="12"/>
    </row>
    <row r="14" spans="1:54" s="13" customFormat="1" x14ac:dyDescent="0.2">
      <c r="A14" s="8">
        <v>42474.220405805449</v>
      </c>
      <c r="B14" s="8">
        <v>0</v>
      </c>
      <c r="C14" s="8">
        <v>0</v>
      </c>
      <c r="D14" s="8">
        <v>0</v>
      </c>
      <c r="E14" s="8">
        <v>0</v>
      </c>
      <c r="F14" s="8">
        <v>3473.159218740393</v>
      </c>
      <c r="G14" s="8">
        <v>45947.379624545843</v>
      </c>
      <c r="H14" s="14" t="s">
        <v>5</v>
      </c>
      <c r="I14" s="8">
        <v>0</v>
      </c>
      <c r="J14" s="8">
        <v>0</v>
      </c>
      <c r="K14" s="8">
        <v>126.80839046058564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286.53634671396958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413.34473717455523</v>
      </c>
      <c r="AT14" s="8">
        <v>36762.066033682982</v>
      </c>
      <c r="AU14" s="8">
        <v>0</v>
      </c>
      <c r="AV14" s="8">
        <v>0</v>
      </c>
      <c r="AW14" s="8">
        <v>0</v>
      </c>
      <c r="AX14" s="8">
        <v>8771.9688536883059</v>
      </c>
      <c r="AY14" s="10">
        <v>45534.034887371286</v>
      </c>
      <c r="AZ14" s="8">
        <v>45947.379624545843</v>
      </c>
      <c r="BA14" s="11" t="s">
        <v>48</v>
      </c>
      <c r="BB14" s="12"/>
    </row>
    <row r="15" spans="1:54" s="13" customFormat="1" x14ac:dyDescent="0.2">
      <c r="A15" s="8">
        <v>1594990.3955099573</v>
      </c>
      <c r="B15" s="8">
        <v>19111.213714454814</v>
      </c>
      <c r="C15" s="8">
        <v>1517.2854453714242</v>
      </c>
      <c r="D15" s="8">
        <v>14.70531341704481</v>
      </c>
      <c r="E15" s="8">
        <v>3179.2898769349758</v>
      </c>
      <c r="F15" s="8">
        <v>193053.57858923892</v>
      </c>
      <c r="G15" s="8">
        <v>1811866.4684493744</v>
      </c>
      <c r="H15" s="14" t="s">
        <v>6</v>
      </c>
      <c r="I15" s="8">
        <v>0</v>
      </c>
      <c r="J15" s="8">
        <v>0</v>
      </c>
      <c r="K15" s="8">
        <v>0</v>
      </c>
      <c r="L15" s="8">
        <v>2640.5381679347674</v>
      </c>
      <c r="M15" s="8">
        <v>0</v>
      </c>
      <c r="N15" s="8">
        <v>0</v>
      </c>
      <c r="O15" s="8">
        <v>0</v>
      </c>
      <c r="P15" s="8">
        <v>1210404.9682090981</v>
      </c>
      <c r="Q15" s="8">
        <v>170159.33312636503</v>
      </c>
      <c r="R15" s="8">
        <v>9263.2162168226478</v>
      </c>
      <c r="S15" s="8">
        <v>0</v>
      </c>
      <c r="T15" s="8">
        <v>21690.295148391862</v>
      </c>
      <c r="U15" s="8">
        <v>0</v>
      </c>
      <c r="V15" s="8">
        <v>0</v>
      </c>
      <c r="W15" s="8">
        <v>6578.904001454137</v>
      </c>
      <c r="X15" s="8">
        <v>0</v>
      </c>
      <c r="Y15" s="8">
        <v>0</v>
      </c>
      <c r="Z15" s="8">
        <v>400.97235606785233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3710.2556954251791</v>
      </c>
      <c r="AP15" s="8">
        <v>0</v>
      </c>
      <c r="AQ15" s="8">
        <v>14581.207790011806</v>
      </c>
      <c r="AR15" s="8">
        <v>0</v>
      </c>
      <c r="AS15" s="8">
        <v>1439429.6907115714</v>
      </c>
      <c r="AT15" s="8">
        <v>208557.02672195647</v>
      </c>
      <c r="AU15" s="8">
        <v>0</v>
      </c>
      <c r="AV15" s="8">
        <v>63608.304470414361</v>
      </c>
      <c r="AW15" s="8">
        <v>55625.537683877352</v>
      </c>
      <c r="AX15" s="8">
        <v>44645.908861555174</v>
      </c>
      <c r="AY15" s="10">
        <v>372436.77773780335</v>
      </c>
      <c r="AZ15" s="8">
        <v>1811866.4684493747</v>
      </c>
      <c r="BA15" s="11" t="s">
        <v>49</v>
      </c>
      <c r="BB15" s="12"/>
    </row>
    <row r="16" spans="1:54" s="13" customFormat="1" x14ac:dyDescent="0.2">
      <c r="A16" s="8">
        <v>336333.95280147792</v>
      </c>
      <c r="B16" s="8">
        <v>3869.0629520843158</v>
      </c>
      <c r="C16" s="8">
        <v>196.39839504600644</v>
      </c>
      <c r="D16" s="8">
        <v>76.268766828156842</v>
      </c>
      <c r="E16" s="8">
        <v>371.58889404018805</v>
      </c>
      <c r="F16" s="8">
        <v>85510.776235010751</v>
      </c>
      <c r="G16" s="8">
        <v>426358.04804448737</v>
      </c>
      <c r="H16" s="14" t="s">
        <v>7</v>
      </c>
      <c r="I16" s="8">
        <v>16238.386551988655</v>
      </c>
      <c r="J16" s="8">
        <v>10251.99330694817</v>
      </c>
      <c r="K16" s="8">
        <v>0</v>
      </c>
      <c r="L16" s="8">
        <v>1401.1371446361043</v>
      </c>
      <c r="M16" s="8">
        <v>14599.76602187336</v>
      </c>
      <c r="N16" s="8">
        <v>1900.3392803258073</v>
      </c>
      <c r="O16" s="8">
        <v>13556.980394908951</v>
      </c>
      <c r="P16" s="8">
        <v>886.82789851399127</v>
      </c>
      <c r="Q16" s="8">
        <v>0</v>
      </c>
      <c r="R16" s="8">
        <v>0</v>
      </c>
      <c r="S16" s="8">
        <v>6145.0877921519277</v>
      </c>
      <c r="T16" s="8">
        <v>0</v>
      </c>
      <c r="U16" s="8">
        <v>0</v>
      </c>
      <c r="V16" s="8">
        <v>0</v>
      </c>
      <c r="W16" s="8">
        <v>12086.436549880244</v>
      </c>
      <c r="X16" s="8">
        <v>155974.89902327681</v>
      </c>
      <c r="Y16" s="8">
        <v>8480.7933107931003</v>
      </c>
      <c r="Z16" s="8">
        <v>21445.639886452402</v>
      </c>
      <c r="AA16" s="8">
        <v>0</v>
      </c>
      <c r="AB16" s="8">
        <v>0</v>
      </c>
      <c r="AC16" s="8">
        <v>2882.6232299655067</v>
      </c>
      <c r="AD16" s="8">
        <v>0</v>
      </c>
      <c r="AE16" s="8">
        <v>0</v>
      </c>
      <c r="AF16" s="8">
        <v>0</v>
      </c>
      <c r="AG16" s="8">
        <v>66073.774136947162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7938.6309176190616</v>
      </c>
      <c r="AP16" s="8">
        <v>0</v>
      </c>
      <c r="AQ16" s="8">
        <v>3300.9607848660635</v>
      </c>
      <c r="AR16" s="8">
        <v>0</v>
      </c>
      <c r="AS16" s="8">
        <v>343164.27623114729</v>
      </c>
      <c r="AT16" s="8">
        <v>25937.938443131625</v>
      </c>
      <c r="AU16" s="8">
        <v>0</v>
      </c>
      <c r="AV16" s="8">
        <v>16066.666641781814</v>
      </c>
      <c r="AW16" s="8">
        <v>0</v>
      </c>
      <c r="AX16" s="8">
        <v>41189.166728426586</v>
      </c>
      <c r="AY16" s="10">
        <v>83193.771813340019</v>
      </c>
      <c r="AZ16" s="8">
        <v>426358.04804448731</v>
      </c>
      <c r="BA16" s="11" t="s">
        <v>50</v>
      </c>
      <c r="BB16" s="12"/>
    </row>
    <row r="17" spans="1:54" s="13" customFormat="1" x14ac:dyDescent="0.2">
      <c r="A17" s="8">
        <v>3272291.8820268521</v>
      </c>
      <c r="B17" s="8">
        <v>17.228000000000002</v>
      </c>
      <c r="C17" s="8">
        <v>0.4</v>
      </c>
      <c r="D17" s="8">
        <v>31365.59746777243</v>
      </c>
      <c r="E17" s="8">
        <v>811128.3442436303</v>
      </c>
      <c r="F17" s="8">
        <v>0</v>
      </c>
      <c r="G17" s="8">
        <v>4114803.4517382546</v>
      </c>
      <c r="H17" s="14" t="s">
        <v>8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125559.58872531347</v>
      </c>
      <c r="O17" s="8">
        <v>0</v>
      </c>
      <c r="P17" s="8">
        <v>0</v>
      </c>
      <c r="Q17" s="8">
        <v>0</v>
      </c>
      <c r="R17" s="8">
        <v>0</v>
      </c>
      <c r="S17" s="8">
        <v>19339.950253285224</v>
      </c>
      <c r="T17" s="8">
        <v>18776.099418231599</v>
      </c>
      <c r="U17" s="8">
        <v>5363.8382513749602</v>
      </c>
      <c r="V17" s="8">
        <v>0</v>
      </c>
      <c r="W17" s="8">
        <v>1118.8795030654605</v>
      </c>
      <c r="X17" s="8">
        <v>0</v>
      </c>
      <c r="Y17" s="8">
        <v>0</v>
      </c>
      <c r="Z17" s="8">
        <v>574.41170637537357</v>
      </c>
      <c r="AA17" s="8">
        <v>724340.10071889206</v>
      </c>
      <c r="AB17" s="8">
        <v>37262.400643235087</v>
      </c>
      <c r="AC17" s="8">
        <v>0</v>
      </c>
      <c r="AD17" s="8">
        <v>0</v>
      </c>
      <c r="AE17" s="8">
        <v>0</v>
      </c>
      <c r="AF17" s="8">
        <v>44725.785863035329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977061.0550828086</v>
      </c>
      <c r="AT17" s="8">
        <v>0</v>
      </c>
      <c r="AU17" s="8">
        <v>0</v>
      </c>
      <c r="AV17" s="8">
        <v>92799.411061962193</v>
      </c>
      <c r="AW17" s="8">
        <v>-84386.146496655332</v>
      </c>
      <c r="AX17" s="8">
        <v>3129329.1321216063</v>
      </c>
      <c r="AY17" s="10">
        <v>3137742.396686913</v>
      </c>
      <c r="AZ17" s="8">
        <v>4114803.4517697217</v>
      </c>
      <c r="BA17" s="11" t="s">
        <v>51</v>
      </c>
      <c r="BB17" s="12"/>
    </row>
    <row r="18" spans="1:54" s="13" customFormat="1" x14ac:dyDescent="0.2">
      <c r="A18" s="8">
        <v>1420950.7979463642</v>
      </c>
      <c r="B18" s="8">
        <v>5626.393153211583</v>
      </c>
      <c r="C18" s="8">
        <v>14.984534148567407</v>
      </c>
      <c r="D18" s="8">
        <v>13042.131334279617</v>
      </c>
      <c r="E18" s="8">
        <v>31223.844340523614</v>
      </c>
      <c r="F18" s="8">
        <v>61628.715596927366</v>
      </c>
      <c r="G18" s="8">
        <v>1532486.866905455</v>
      </c>
      <c r="H18" s="14" t="s">
        <v>9</v>
      </c>
      <c r="I18" s="8">
        <v>0</v>
      </c>
      <c r="J18" s="8">
        <v>0</v>
      </c>
      <c r="K18" s="8">
        <v>0</v>
      </c>
      <c r="L18" s="8">
        <v>914.90688381575444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1337.1220317984867</v>
      </c>
      <c r="AA18" s="8">
        <v>0</v>
      </c>
      <c r="AB18" s="8">
        <v>80174.094543276704</v>
      </c>
      <c r="AC18" s="8">
        <v>281796.54664972064</v>
      </c>
      <c r="AD18" s="8">
        <v>0</v>
      </c>
      <c r="AE18" s="8">
        <v>18703.156529473719</v>
      </c>
      <c r="AF18" s="8">
        <v>0</v>
      </c>
      <c r="AG18" s="8">
        <v>95541.138224171329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478466.9648622566</v>
      </c>
      <c r="AT18" s="8">
        <v>0</v>
      </c>
      <c r="AU18" s="8">
        <v>0</v>
      </c>
      <c r="AV18" s="8">
        <v>0</v>
      </c>
      <c r="AW18" s="8">
        <v>-203183.87284528039</v>
      </c>
      <c r="AX18" s="8">
        <v>1257203.7748884787</v>
      </c>
      <c r="AY18" s="10">
        <v>1054019.9020431982</v>
      </c>
      <c r="AZ18" s="8">
        <v>1532486.866905455</v>
      </c>
      <c r="BA18" s="11">
        <v>7</v>
      </c>
      <c r="BB18" s="12"/>
    </row>
    <row r="19" spans="1:54" s="13" customFormat="1" x14ac:dyDescent="0.2">
      <c r="A19" s="8">
        <v>1857115.9659245491</v>
      </c>
      <c r="B19" s="8">
        <v>47538.204008251385</v>
      </c>
      <c r="C19" s="8">
        <v>6425.2283709830908</v>
      </c>
      <c r="D19" s="8">
        <v>10857.550773747322</v>
      </c>
      <c r="E19" s="8">
        <v>31125.256593538274</v>
      </c>
      <c r="F19" s="8">
        <v>309990.22154827754</v>
      </c>
      <c r="G19" s="8">
        <v>2263052.4272193466</v>
      </c>
      <c r="H19" s="14" t="s">
        <v>10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28400.956304281102</v>
      </c>
      <c r="Q19" s="8">
        <v>0</v>
      </c>
      <c r="R19" s="8">
        <v>7489.2327128590705</v>
      </c>
      <c r="S19" s="8">
        <v>0</v>
      </c>
      <c r="T19" s="8">
        <v>13402.844103549918</v>
      </c>
      <c r="U19" s="8">
        <v>0</v>
      </c>
      <c r="V19" s="8">
        <v>0</v>
      </c>
      <c r="W19" s="8">
        <v>59080.547112763132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76675.131774748996</v>
      </c>
      <c r="AO19" s="8">
        <v>180583.21891140623</v>
      </c>
      <c r="AP19" s="8">
        <v>0</v>
      </c>
      <c r="AQ19" s="8">
        <v>9477.5497062772374</v>
      </c>
      <c r="AR19" s="8">
        <v>0</v>
      </c>
      <c r="AS19" s="8">
        <v>375109.48062588571</v>
      </c>
      <c r="AT19" s="8">
        <v>1876327.9055028995</v>
      </c>
      <c r="AU19" s="8">
        <v>0</v>
      </c>
      <c r="AV19" s="8">
        <v>0</v>
      </c>
      <c r="AW19" s="8">
        <v>0</v>
      </c>
      <c r="AX19" s="8">
        <v>11615.047554488141</v>
      </c>
      <c r="AY19" s="10">
        <v>1887942.9530573876</v>
      </c>
      <c r="AZ19" s="8">
        <v>2263052.4336832734</v>
      </c>
      <c r="BA19" s="15">
        <v>8</v>
      </c>
      <c r="BB19" s="12"/>
    </row>
    <row r="20" spans="1:54" s="13" customFormat="1" x14ac:dyDescent="0.2">
      <c r="A20" s="8">
        <v>565066.97605557705</v>
      </c>
      <c r="B20" s="8">
        <v>37143.552452371972</v>
      </c>
      <c r="C20" s="8">
        <v>3276.0416014408806</v>
      </c>
      <c r="D20" s="8">
        <v>11805.504328508619</v>
      </c>
      <c r="E20" s="8">
        <v>2814.3193992151246</v>
      </c>
      <c r="F20" s="8">
        <v>98227.979306160225</v>
      </c>
      <c r="G20" s="8">
        <v>718334.37314327387</v>
      </c>
      <c r="H20" s="14" t="s">
        <v>11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23250.841517843674</v>
      </c>
      <c r="R20" s="8">
        <v>16399.900249623141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22327.01888408923</v>
      </c>
      <c r="AO20" s="8">
        <v>28816.301413080895</v>
      </c>
      <c r="AP20" s="8">
        <v>0</v>
      </c>
      <c r="AQ20" s="8">
        <v>7601.1171278529682</v>
      </c>
      <c r="AR20" s="8">
        <v>0</v>
      </c>
      <c r="AS20" s="8">
        <v>98395.179192489901</v>
      </c>
      <c r="AT20" s="8">
        <v>580776.23154438101</v>
      </c>
      <c r="AU20" s="8">
        <v>0</v>
      </c>
      <c r="AV20" s="8">
        <v>0</v>
      </c>
      <c r="AW20" s="8">
        <v>-2259.6006163677048</v>
      </c>
      <c r="AX20" s="8">
        <v>41422.563022770599</v>
      </c>
      <c r="AY20" s="10">
        <v>619939.19395078393</v>
      </c>
      <c r="AZ20" s="8">
        <v>718334.37314327375</v>
      </c>
      <c r="BA20" s="15">
        <v>9</v>
      </c>
      <c r="BB20" s="12"/>
    </row>
    <row r="21" spans="1:54" s="13" customFormat="1" x14ac:dyDescent="0.2">
      <c r="A21" s="8">
        <v>1847343.8626572078</v>
      </c>
      <c r="B21" s="8">
        <v>276964.90835100296</v>
      </c>
      <c r="C21" s="8">
        <v>19153.318664748163</v>
      </c>
      <c r="D21" s="8">
        <v>30220.005663847842</v>
      </c>
      <c r="E21" s="8">
        <v>7469.6825547990684</v>
      </c>
      <c r="F21" s="8">
        <v>265778.63242364337</v>
      </c>
      <c r="G21" s="8">
        <v>2446930.4103152491</v>
      </c>
      <c r="H21" s="14" t="s">
        <v>12</v>
      </c>
      <c r="I21" s="8">
        <v>0</v>
      </c>
      <c r="J21" s="8">
        <v>0</v>
      </c>
      <c r="K21" s="8">
        <v>0</v>
      </c>
      <c r="L21" s="8">
        <v>9737.0978123070909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444407.63996487571</v>
      </c>
      <c r="S21" s="8">
        <v>0</v>
      </c>
      <c r="T21" s="8">
        <v>80111.768193766562</v>
      </c>
      <c r="U21" s="8">
        <v>4276.2360554690395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57191.381036132887</v>
      </c>
      <c r="AO21" s="8">
        <v>73609.039343615892</v>
      </c>
      <c r="AP21" s="8">
        <v>0</v>
      </c>
      <c r="AQ21" s="8">
        <v>18735.474640584722</v>
      </c>
      <c r="AR21" s="8">
        <v>0</v>
      </c>
      <c r="AS21" s="8">
        <v>688068.63704675192</v>
      </c>
      <c r="AT21" s="8">
        <v>1433427.3333173103</v>
      </c>
      <c r="AU21" s="8">
        <v>0</v>
      </c>
      <c r="AV21" s="8">
        <v>0</v>
      </c>
      <c r="AW21" s="8">
        <v>76130.372127015682</v>
      </c>
      <c r="AX21" s="8">
        <v>249304.06782417119</v>
      </c>
      <c r="AY21" s="10">
        <v>1758861.7732684971</v>
      </c>
      <c r="AZ21" s="8">
        <v>2446930.4103152491</v>
      </c>
      <c r="BA21" s="15">
        <v>10</v>
      </c>
      <c r="BB21" s="12"/>
    </row>
    <row r="22" spans="1:54" s="13" customFormat="1" x14ac:dyDescent="0.2">
      <c r="A22" s="8">
        <v>597136.97547171207</v>
      </c>
      <c r="B22" s="8">
        <v>92755.333895996708</v>
      </c>
      <c r="C22" s="8">
        <v>14174.427170804312</v>
      </c>
      <c r="D22" s="8">
        <v>21593.461050147642</v>
      </c>
      <c r="E22" s="8">
        <v>2531.6286092471582</v>
      </c>
      <c r="F22" s="8">
        <v>133390.83507316929</v>
      </c>
      <c r="G22" s="8">
        <v>861582.66127107723</v>
      </c>
      <c r="H22" s="14" t="s">
        <v>13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22649.325639447434</v>
      </c>
      <c r="R22" s="8">
        <v>7214.8167337841842</v>
      </c>
      <c r="S22" s="8">
        <v>13545.012288007181</v>
      </c>
      <c r="T22" s="8">
        <v>27380.756689033369</v>
      </c>
      <c r="U22" s="8">
        <v>89805.720427458567</v>
      </c>
      <c r="V22" s="8">
        <v>8.5287033068963254</v>
      </c>
      <c r="W22" s="8">
        <v>0</v>
      </c>
      <c r="X22" s="8">
        <v>0</v>
      </c>
      <c r="Y22" s="8">
        <v>0</v>
      </c>
      <c r="Z22" s="8">
        <v>145.22915561650294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3961.1729273396163</v>
      </c>
      <c r="AO22" s="8">
        <v>8924.5441216154341</v>
      </c>
      <c r="AP22" s="8">
        <v>0</v>
      </c>
      <c r="AQ22" s="8">
        <v>7615.9724702428275</v>
      </c>
      <c r="AR22" s="8">
        <v>0</v>
      </c>
      <c r="AS22" s="8">
        <v>181251.079155852</v>
      </c>
      <c r="AT22" s="8">
        <v>535639.03708809323</v>
      </c>
      <c r="AU22" s="8">
        <v>0</v>
      </c>
      <c r="AV22" s="8">
        <v>0</v>
      </c>
      <c r="AW22" s="8">
        <v>30594.360753208755</v>
      </c>
      <c r="AX22" s="8">
        <v>114098.18427392315</v>
      </c>
      <c r="AY22" s="10">
        <v>680331.58211522514</v>
      </c>
      <c r="AZ22" s="8">
        <v>861582.66127107712</v>
      </c>
      <c r="BA22" s="15">
        <v>11</v>
      </c>
      <c r="BB22" s="12"/>
    </row>
    <row r="23" spans="1:54" s="13" customFormat="1" x14ac:dyDescent="0.2">
      <c r="A23" s="8">
        <v>1989931.9163138671</v>
      </c>
      <c r="B23" s="8">
        <v>189986.70302145841</v>
      </c>
      <c r="C23" s="8">
        <v>14638.90851565632</v>
      </c>
      <c r="D23" s="8">
        <v>25428.844187146609</v>
      </c>
      <c r="E23" s="8">
        <v>3866.1406134949702</v>
      </c>
      <c r="F23" s="8">
        <v>378587.14519316854</v>
      </c>
      <c r="G23" s="8">
        <v>2602439.6578447921</v>
      </c>
      <c r="H23" s="14" t="s">
        <v>14</v>
      </c>
      <c r="I23" s="8">
        <v>0</v>
      </c>
      <c r="J23" s="8">
        <v>0</v>
      </c>
      <c r="K23" s="8">
        <v>0</v>
      </c>
      <c r="L23" s="8">
        <v>182801.75643895051</v>
      </c>
      <c r="M23" s="8">
        <v>1367.910480700461</v>
      </c>
      <c r="N23" s="8">
        <v>0</v>
      </c>
      <c r="O23" s="8">
        <v>0</v>
      </c>
      <c r="P23" s="8">
        <v>8595.0495741433697</v>
      </c>
      <c r="Q23" s="8">
        <v>9892.5936894715996</v>
      </c>
      <c r="R23" s="8">
        <v>10660.428297382705</v>
      </c>
      <c r="S23" s="8">
        <v>8718.5875280019663</v>
      </c>
      <c r="T23" s="8">
        <v>72842.197496220062</v>
      </c>
      <c r="U23" s="8">
        <v>75517.667214633446</v>
      </c>
      <c r="V23" s="8">
        <v>0</v>
      </c>
      <c r="W23" s="8">
        <v>0</v>
      </c>
      <c r="X23" s="8">
        <v>0</v>
      </c>
      <c r="Y23" s="8">
        <v>0</v>
      </c>
      <c r="Z23" s="8">
        <v>12771.239013399478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11715.381016344296</v>
      </c>
      <c r="AO23" s="8">
        <v>29785.146192427594</v>
      </c>
      <c r="AP23" s="8">
        <v>0</v>
      </c>
      <c r="AQ23" s="8">
        <v>10435.035740773556</v>
      </c>
      <c r="AR23" s="8">
        <v>0</v>
      </c>
      <c r="AS23" s="8">
        <v>435102.99268244905</v>
      </c>
      <c r="AT23" s="8">
        <v>583718.71712934203</v>
      </c>
      <c r="AU23" s="8">
        <v>0</v>
      </c>
      <c r="AV23" s="8">
        <v>0</v>
      </c>
      <c r="AW23" s="8">
        <v>89304</v>
      </c>
      <c r="AX23" s="8">
        <v>1494313.9480330008</v>
      </c>
      <c r="AY23" s="10">
        <v>2167336.6651623426</v>
      </c>
      <c r="AZ23" s="8">
        <v>2602439.6578447921</v>
      </c>
      <c r="BA23" s="15">
        <v>12</v>
      </c>
      <c r="BB23" s="12"/>
    </row>
    <row r="24" spans="1:54" s="13" customFormat="1" x14ac:dyDescent="0.2">
      <c r="A24" s="8">
        <v>1554008.0026125801</v>
      </c>
      <c r="B24" s="8">
        <v>89120.696694515762</v>
      </c>
      <c r="C24" s="8">
        <v>8896.9250150523385</v>
      </c>
      <c r="D24" s="8">
        <v>27898.060809500879</v>
      </c>
      <c r="E24" s="8">
        <v>91380.321879615498</v>
      </c>
      <c r="F24" s="8">
        <v>209266.66513593993</v>
      </c>
      <c r="G24" s="8">
        <v>1980570.6721472044</v>
      </c>
      <c r="H24" s="14" t="s">
        <v>15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111994.18389129986</v>
      </c>
      <c r="V24" s="8">
        <v>12.657060452661955</v>
      </c>
      <c r="W24" s="8">
        <v>998.07006447697688</v>
      </c>
      <c r="X24" s="8">
        <v>0</v>
      </c>
      <c r="Y24" s="8">
        <v>0</v>
      </c>
      <c r="Z24" s="8">
        <v>877.34168367283689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2932.7567636823128</v>
      </c>
      <c r="AL24" s="8">
        <v>0</v>
      </c>
      <c r="AM24" s="8">
        <v>0</v>
      </c>
      <c r="AN24" s="8">
        <v>162204.77219082974</v>
      </c>
      <c r="AO24" s="8">
        <v>654649.81881479512</v>
      </c>
      <c r="AP24" s="8">
        <v>0</v>
      </c>
      <c r="AQ24" s="8">
        <v>5710.4810335070788</v>
      </c>
      <c r="AR24" s="8">
        <v>0</v>
      </c>
      <c r="AS24" s="8">
        <v>939380.08150271664</v>
      </c>
      <c r="AT24" s="8">
        <v>758336.39889697416</v>
      </c>
      <c r="AU24" s="8">
        <v>0</v>
      </c>
      <c r="AV24" s="8">
        <v>0</v>
      </c>
      <c r="AW24" s="8">
        <v>161091.48164834178</v>
      </c>
      <c r="AX24" s="8">
        <v>121762.71009917198</v>
      </c>
      <c r="AY24" s="10">
        <v>1041190.5906444879</v>
      </c>
      <c r="AZ24" s="8">
        <v>1980570.6721472046</v>
      </c>
      <c r="BA24" s="15">
        <v>13</v>
      </c>
      <c r="BB24" s="12"/>
    </row>
    <row r="25" spans="1:54" s="13" customFormat="1" x14ac:dyDescent="0.2">
      <c r="A25" s="8">
        <v>60376.362641897744</v>
      </c>
      <c r="B25" s="8">
        <v>29162.634367608793</v>
      </c>
      <c r="C25" s="8">
        <v>1409.5951698475856</v>
      </c>
      <c r="D25" s="8">
        <v>2936.4580122456173</v>
      </c>
      <c r="E25" s="8">
        <v>10589.641191362429</v>
      </c>
      <c r="F25" s="8">
        <v>15736.532332805649</v>
      </c>
      <c r="G25" s="8">
        <v>120211.22371576782</v>
      </c>
      <c r="H25" s="14" t="s">
        <v>16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21546.861771598586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21546.861771598586</v>
      </c>
      <c r="AT25" s="8">
        <v>88856.330529324667</v>
      </c>
      <c r="AU25" s="8">
        <v>0</v>
      </c>
      <c r="AV25" s="8">
        <v>0</v>
      </c>
      <c r="AW25" s="8">
        <v>8663</v>
      </c>
      <c r="AX25" s="8">
        <v>1145.0314148445646</v>
      </c>
      <c r="AY25" s="10">
        <v>98664.361944169228</v>
      </c>
      <c r="AZ25" s="8">
        <v>120211.22371576782</v>
      </c>
      <c r="BA25" s="15">
        <v>14</v>
      </c>
      <c r="BB25" s="12"/>
    </row>
    <row r="26" spans="1:54" s="13" customFormat="1" x14ac:dyDescent="0.2">
      <c r="A26" s="8">
        <v>1098605.5801865605</v>
      </c>
      <c r="B26" s="8">
        <v>406344.18330589513</v>
      </c>
      <c r="C26" s="8">
        <v>16453.303429826829</v>
      </c>
      <c r="D26" s="8">
        <v>18316.161501757757</v>
      </c>
      <c r="E26" s="8">
        <v>11427.097369121639</v>
      </c>
      <c r="F26" s="8">
        <v>269807.86096479435</v>
      </c>
      <c r="G26" s="8">
        <v>1820954.1867579562</v>
      </c>
      <c r="H26" s="14" t="s">
        <v>17</v>
      </c>
      <c r="I26" s="8">
        <v>0</v>
      </c>
      <c r="J26" s="8">
        <v>0</v>
      </c>
      <c r="K26" s="8">
        <v>0</v>
      </c>
      <c r="L26" s="8">
        <v>0</v>
      </c>
      <c r="M26" s="8">
        <v>898.89241378175075</v>
      </c>
      <c r="N26" s="8">
        <v>22733.255251418468</v>
      </c>
      <c r="O26" s="8">
        <v>7626.8288805760076</v>
      </c>
      <c r="P26" s="8">
        <v>1485.5167519738372</v>
      </c>
      <c r="Q26" s="8">
        <v>399.0826007188503</v>
      </c>
      <c r="R26" s="8">
        <v>16980.465993514412</v>
      </c>
      <c r="S26" s="8">
        <v>18214.838921073515</v>
      </c>
      <c r="T26" s="8">
        <v>19989.199999586272</v>
      </c>
      <c r="U26" s="8">
        <v>8556.0157241488978</v>
      </c>
      <c r="V26" s="8">
        <v>238.62268041692397</v>
      </c>
      <c r="W26" s="8">
        <v>397748.19858890452</v>
      </c>
      <c r="X26" s="8">
        <v>8309.8523717225253</v>
      </c>
      <c r="Y26" s="8">
        <v>10344.784827042477</v>
      </c>
      <c r="Z26" s="8">
        <v>9779.8766595748748</v>
      </c>
      <c r="AA26" s="8">
        <v>394.76502194130114</v>
      </c>
      <c r="AB26" s="8">
        <v>1861.3980480387654</v>
      </c>
      <c r="AC26" s="8">
        <v>108.21119711788039</v>
      </c>
      <c r="AD26" s="8">
        <v>1974.4976737236414</v>
      </c>
      <c r="AE26" s="8">
        <v>4960.9423900571837</v>
      </c>
      <c r="AF26" s="8">
        <v>3319.8817532624198</v>
      </c>
      <c r="AG26" s="8">
        <v>4459.5033648738226</v>
      </c>
      <c r="AH26" s="8">
        <v>24626.771355146735</v>
      </c>
      <c r="AI26" s="8">
        <v>23629.099448678586</v>
      </c>
      <c r="AJ26" s="8">
        <v>5235.2602534318421</v>
      </c>
      <c r="AK26" s="8">
        <v>6234.4687385697653</v>
      </c>
      <c r="AL26" s="8">
        <v>6877.1130041211673</v>
      </c>
      <c r="AM26" s="8">
        <v>0</v>
      </c>
      <c r="AN26" s="8">
        <v>42046.876589849286</v>
      </c>
      <c r="AO26" s="8">
        <v>8121.9048668281785</v>
      </c>
      <c r="AP26" s="8">
        <v>0</v>
      </c>
      <c r="AQ26" s="8">
        <v>83003.932335020058</v>
      </c>
      <c r="AR26" s="8">
        <v>0</v>
      </c>
      <c r="AS26" s="8">
        <v>740160.05770511401</v>
      </c>
      <c r="AT26" s="8">
        <v>749189.60927094647</v>
      </c>
      <c r="AU26" s="8">
        <v>0</v>
      </c>
      <c r="AV26" s="8">
        <v>0</v>
      </c>
      <c r="AW26" s="8">
        <v>-82093</v>
      </c>
      <c r="AX26" s="8">
        <v>413697.51978189562</v>
      </c>
      <c r="AY26" s="10">
        <v>1080794.129052842</v>
      </c>
      <c r="AZ26" s="8">
        <v>1820954.1867579562</v>
      </c>
      <c r="BA26" s="15">
        <v>15</v>
      </c>
      <c r="BB26" s="12"/>
    </row>
    <row r="27" spans="1:54" s="13" customFormat="1" x14ac:dyDescent="0.2">
      <c r="A27" s="8">
        <v>878587.91627517063</v>
      </c>
      <c r="B27" s="8">
        <v>31277.199882889989</v>
      </c>
      <c r="C27" s="8">
        <v>1398.3966987935476</v>
      </c>
      <c r="D27" s="8">
        <v>10737.149471338949</v>
      </c>
      <c r="E27" s="8">
        <v>3362.0540975473959</v>
      </c>
      <c r="F27" s="8">
        <v>143048.9402114384</v>
      </c>
      <c r="G27" s="8">
        <v>1068411.656637179</v>
      </c>
      <c r="H27" s="14" t="s">
        <v>18</v>
      </c>
      <c r="I27" s="8">
        <v>4170.0367713896376</v>
      </c>
      <c r="J27" s="8">
        <v>0</v>
      </c>
      <c r="K27" s="8">
        <v>0</v>
      </c>
      <c r="L27" s="8">
        <v>262.07477061108779</v>
      </c>
      <c r="M27" s="8">
        <v>526.79697654605116</v>
      </c>
      <c r="N27" s="8">
        <v>0</v>
      </c>
      <c r="O27" s="8">
        <v>15724.96675903096</v>
      </c>
      <c r="P27" s="8">
        <v>0</v>
      </c>
      <c r="Q27" s="8">
        <v>689.32431601290114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352704.94921237411</v>
      </c>
      <c r="Y27" s="8">
        <v>0</v>
      </c>
      <c r="Z27" s="8">
        <v>0</v>
      </c>
      <c r="AA27" s="8">
        <v>0</v>
      </c>
      <c r="AB27" s="8">
        <v>236.34134955163813</v>
      </c>
      <c r="AC27" s="8">
        <v>81.182571582138323</v>
      </c>
      <c r="AD27" s="8">
        <v>3452.0433126028429</v>
      </c>
      <c r="AE27" s="8">
        <v>209.02707343047405</v>
      </c>
      <c r="AF27" s="8">
        <v>5949.8830898166725</v>
      </c>
      <c r="AG27" s="8">
        <v>90845.902807887091</v>
      </c>
      <c r="AH27" s="8">
        <v>0</v>
      </c>
      <c r="AI27" s="8">
        <v>7261.3594676053999</v>
      </c>
      <c r="AJ27" s="8">
        <v>470.67268785182551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9818.053464540124</v>
      </c>
      <c r="AR27" s="8">
        <v>0</v>
      </c>
      <c r="AS27" s="8">
        <v>492402.61463083298</v>
      </c>
      <c r="AT27" s="8">
        <v>318758.10856187332</v>
      </c>
      <c r="AU27" s="8">
        <v>0</v>
      </c>
      <c r="AV27" s="8">
        <v>25143.750469126899</v>
      </c>
      <c r="AW27" s="8">
        <v>-50313.360498911316</v>
      </c>
      <c r="AX27" s="8">
        <v>282420.54347425705</v>
      </c>
      <c r="AY27" s="10">
        <v>576009.04200634593</v>
      </c>
      <c r="AZ27" s="8">
        <v>1068411.656637179</v>
      </c>
      <c r="BA27" s="15">
        <v>16</v>
      </c>
      <c r="BB27" s="12"/>
    </row>
    <row r="28" spans="1:54" s="13" customFormat="1" x14ac:dyDescent="0.2">
      <c r="A28" s="8">
        <v>341742.50673339103</v>
      </c>
      <c r="B28" s="8">
        <v>271338.54484780546</v>
      </c>
      <c r="C28" s="8">
        <v>19203.59146002317</v>
      </c>
      <c r="D28" s="8">
        <v>5797.5186006156091</v>
      </c>
      <c r="E28" s="8">
        <v>3760.0241293839886</v>
      </c>
      <c r="F28" s="8">
        <v>109714.45505734417</v>
      </c>
      <c r="G28" s="8">
        <v>751556.64082856337</v>
      </c>
      <c r="H28" s="14" t="s">
        <v>19</v>
      </c>
      <c r="I28" s="8">
        <v>129.34329100145769</v>
      </c>
      <c r="J28" s="8">
        <v>725.13179317953336</v>
      </c>
      <c r="K28" s="8">
        <v>0</v>
      </c>
      <c r="L28" s="8">
        <v>159.95725187960932</v>
      </c>
      <c r="M28" s="8">
        <v>0</v>
      </c>
      <c r="N28" s="8">
        <v>1489.1298404498275</v>
      </c>
      <c r="O28" s="8">
        <v>15709.987867976864</v>
      </c>
      <c r="P28" s="8">
        <v>5770.8180894456782</v>
      </c>
      <c r="Q28" s="8">
        <v>4792.3220141975271</v>
      </c>
      <c r="R28" s="8">
        <v>27174.602105306469</v>
      </c>
      <c r="S28" s="8">
        <v>1555.4199523232796</v>
      </c>
      <c r="T28" s="8">
        <v>28201.88556995253</v>
      </c>
      <c r="U28" s="8">
        <v>13537.855211392596</v>
      </c>
      <c r="V28" s="8">
        <v>3725.4458244553384</v>
      </c>
      <c r="W28" s="8">
        <v>5026.2050131075184</v>
      </c>
      <c r="X28" s="8">
        <v>2420.8918801511204</v>
      </c>
      <c r="Y28" s="8">
        <v>92173.306631045387</v>
      </c>
      <c r="Z28" s="8">
        <v>25054.017214572796</v>
      </c>
      <c r="AA28" s="8">
        <v>891.11873413991191</v>
      </c>
      <c r="AB28" s="8">
        <v>19154.978970441971</v>
      </c>
      <c r="AC28" s="8">
        <v>0</v>
      </c>
      <c r="AD28" s="8">
        <v>2322.8434169382813</v>
      </c>
      <c r="AE28" s="8">
        <v>1889.1137210939928</v>
      </c>
      <c r="AF28" s="8">
        <v>9104.9161631183415</v>
      </c>
      <c r="AG28" s="8">
        <v>4194.4863877117241</v>
      </c>
      <c r="AH28" s="8">
        <v>45399.819466637171</v>
      </c>
      <c r="AI28" s="8">
        <v>19066.949119803314</v>
      </c>
      <c r="AJ28" s="8">
        <v>12100.48203978196</v>
      </c>
      <c r="AK28" s="8">
        <v>57513.62067321116</v>
      </c>
      <c r="AL28" s="8">
        <v>98009.697851603734</v>
      </c>
      <c r="AM28" s="8">
        <v>0</v>
      </c>
      <c r="AN28" s="8">
        <v>56826.010284705691</v>
      </c>
      <c r="AO28" s="8">
        <v>11202.0695788058</v>
      </c>
      <c r="AP28" s="8">
        <v>0</v>
      </c>
      <c r="AQ28" s="8">
        <v>30844.56968546901</v>
      </c>
      <c r="AR28" s="8">
        <v>0</v>
      </c>
      <c r="AS28" s="8">
        <v>596166.99564389954</v>
      </c>
      <c r="AT28" s="8">
        <v>113105.26902727821</v>
      </c>
      <c r="AU28" s="8">
        <v>0</v>
      </c>
      <c r="AV28" s="8">
        <v>0</v>
      </c>
      <c r="AW28" s="8">
        <v>34367</v>
      </c>
      <c r="AX28" s="8">
        <v>7917.3761573856027</v>
      </c>
      <c r="AY28" s="10">
        <v>155389.64518466382</v>
      </c>
      <c r="AZ28" s="8">
        <v>751556.64082856337</v>
      </c>
      <c r="BA28" s="15">
        <v>17</v>
      </c>
      <c r="BB28" s="12"/>
    </row>
    <row r="29" spans="1:54" s="13" customFormat="1" x14ac:dyDescent="0.2">
      <c r="A29" s="8">
        <v>537332.7968402612</v>
      </c>
      <c r="B29" s="8">
        <v>1664315.5603518863</v>
      </c>
      <c r="C29" s="8">
        <v>120901.58035977201</v>
      </c>
      <c r="D29" s="8">
        <v>25063.16677708667</v>
      </c>
      <c r="E29" s="8">
        <v>36529.751825018073</v>
      </c>
      <c r="F29" s="8">
        <v>269445.93733981007</v>
      </c>
      <c r="G29" s="8">
        <v>2653588.7934938343</v>
      </c>
      <c r="H29" s="14" t="s">
        <v>20</v>
      </c>
      <c r="I29" s="8">
        <v>65139.286176036134</v>
      </c>
      <c r="J29" s="8">
        <v>117812.63362926137</v>
      </c>
      <c r="K29" s="8">
        <v>1880.4737374339318</v>
      </c>
      <c r="L29" s="8">
        <v>68702.997665821167</v>
      </c>
      <c r="M29" s="8">
        <v>15092.228012293328</v>
      </c>
      <c r="N29" s="8">
        <v>2435.4781777826365</v>
      </c>
      <c r="O29" s="8">
        <v>108811.85745007178</v>
      </c>
      <c r="P29" s="8">
        <v>4288.6508191695257</v>
      </c>
      <c r="Q29" s="8">
        <v>12240.47112643597</v>
      </c>
      <c r="R29" s="8">
        <v>22369.387181065016</v>
      </c>
      <c r="S29" s="8">
        <v>15066.301755391918</v>
      </c>
      <c r="T29" s="8">
        <v>79172.848771780875</v>
      </c>
      <c r="U29" s="8">
        <v>85097.00189384789</v>
      </c>
      <c r="V29" s="8">
        <v>4677.3809485706252</v>
      </c>
      <c r="W29" s="8">
        <v>89296.116288811187</v>
      </c>
      <c r="X29" s="8">
        <v>20381.592507944049</v>
      </c>
      <c r="Y29" s="8">
        <v>60994.377985766696</v>
      </c>
      <c r="Z29" s="8">
        <v>136640.02905185692</v>
      </c>
      <c r="AA29" s="8">
        <v>60458.359031824461</v>
      </c>
      <c r="AB29" s="8">
        <v>60555.885339205517</v>
      </c>
      <c r="AC29" s="8">
        <v>2011.2354736182976</v>
      </c>
      <c r="AD29" s="8">
        <v>30609.24638519658</v>
      </c>
      <c r="AE29" s="8">
        <v>4671.2175943739248</v>
      </c>
      <c r="AF29" s="8">
        <v>31044.079710693633</v>
      </c>
      <c r="AG29" s="8">
        <v>131774.17363423362</v>
      </c>
      <c r="AH29" s="8">
        <v>32437.54792259348</v>
      </c>
      <c r="AI29" s="8">
        <v>305948.4777589679</v>
      </c>
      <c r="AJ29" s="8">
        <v>4137.2105066900785</v>
      </c>
      <c r="AK29" s="8">
        <v>1296.0493174649494</v>
      </c>
      <c r="AL29" s="8">
        <v>28305.879312454988</v>
      </c>
      <c r="AM29" s="8">
        <v>0</v>
      </c>
      <c r="AN29" s="8">
        <v>91612.799879170314</v>
      </c>
      <c r="AO29" s="8">
        <v>9999.2870991292275</v>
      </c>
      <c r="AP29" s="8">
        <v>0</v>
      </c>
      <c r="AQ29" s="8">
        <v>46381.843632264019</v>
      </c>
      <c r="AR29" s="8">
        <v>0</v>
      </c>
      <c r="AS29" s="8">
        <v>1751342.405777222</v>
      </c>
      <c r="AT29" s="8">
        <v>664342.59367682179</v>
      </c>
      <c r="AU29" s="8">
        <v>0</v>
      </c>
      <c r="AV29" s="8">
        <v>0</v>
      </c>
      <c r="AW29" s="8">
        <v>88476.430177849048</v>
      </c>
      <c r="AX29" s="8">
        <v>149427.36386194159</v>
      </c>
      <c r="AY29" s="10">
        <v>902246.38771661243</v>
      </c>
      <c r="AZ29" s="8">
        <v>2653588.7934938343</v>
      </c>
      <c r="BA29" s="15">
        <v>18</v>
      </c>
      <c r="BB29" s="12"/>
    </row>
    <row r="30" spans="1:54" s="13" customFormat="1" x14ac:dyDescent="0.2">
      <c r="A30" s="8">
        <v>1432689.6546243906</v>
      </c>
      <c r="B30" s="8">
        <v>343678.41979005095</v>
      </c>
      <c r="C30" s="8">
        <v>6753.2493109906336</v>
      </c>
      <c r="D30" s="8">
        <v>200357.15196911522</v>
      </c>
      <c r="E30" s="8">
        <v>56459.451946167792</v>
      </c>
      <c r="F30" s="8">
        <v>209343.1625199742</v>
      </c>
      <c r="G30" s="8">
        <v>2249281.0901606893</v>
      </c>
      <c r="H30" s="14" t="s">
        <v>21</v>
      </c>
      <c r="I30" s="8">
        <v>3948.7010505490812</v>
      </c>
      <c r="J30" s="8">
        <v>5044.4092816931116</v>
      </c>
      <c r="K30" s="8">
        <v>0</v>
      </c>
      <c r="L30" s="8">
        <v>1914.6264649527031</v>
      </c>
      <c r="M30" s="8">
        <v>27494.643880707579</v>
      </c>
      <c r="N30" s="8">
        <v>286573.8686704518</v>
      </c>
      <c r="O30" s="8">
        <v>18687.448471288713</v>
      </c>
      <c r="P30" s="8">
        <v>13316.80991882598</v>
      </c>
      <c r="Q30" s="8">
        <v>11468.578732538406</v>
      </c>
      <c r="R30" s="8">
        <v>21044.724337276901</v>
      </c>
      <c r="S30" s="8">
        <v>4258.235562963202</v>
      </c>
      <c r="T30" s="8">
        <v>10159.239365787864</v>
      </c>
      <c r="U30" s="8">
        <v>20994.598917659667</v>
      </c>
      <c r="V30" s="8">
        <v>209.7907222417677</v>
      </c>
      <c r="W30" s="8">
        <v>10660.193931856411</v>
      </c>
      <c r="X30" s="8">
        <v>3809.3279010153606</v>
      </c>
      <c r="Y30" s="8">
        <v>2571.2533247541915</v>
      </c>
      <c r="Z30" s="8">
        <v>6251.4699737518868</v>
      </c>
      <c r="AA30" s="8">
        <v>21603.6440841732</v>
      </c>
      <c r="AB30" s="8">
        <v>33692.278374679045</v>
      </c>
      <c r="AC30" s="8">
        <v>25864.903620410292</v>
      </c>
      <c r="AD30" s="8">
        <v>1556.9846339278336</v>
      </c>
      <c r="AE30" s="8">
        <v>1403.1240914070193</v>
      </c>
      <c r="AF30" s="8">
        <v>55232.384795999518</v>
      </c>
      <c r="AG30" s="8">
        <v>8066.2533015814997</v>
      </c>
      <c r="AH30" s="8">
        <v>24955.748273418722</v>
      </c>
      <c r="AI30" s="8">
        <v>845680.35867082444</v>
      </c>
      <c r="AJ30" s="8">
        <v>5117.3537104202987</v>
      </c>
      <c r="AK30" s="8">
        <v>16579.126840929795</v>
      </c>
      <c r="AL30" s="8">
        <v>21457.106644702635</v>
      </c>
      <c r="AM30" s="8">
        <v>0</v>
      </c>
      <c r="AN30" s="8">
        <v>11074.106976750656</v>
      </c>
      <c r="AO30" s="8">
        <v>5331.6298499511586</v>
      </c>
      <c r="AP30" s="8">
        <v>0</v>
      </c>
      <c r="AQ30" s="8">
        <v>80574.754343713415</v>
      </c>
      <c r="AR30" s="8">
        <v>0</v>
      </c>
      <c r="AS30" s="8">
        <v>1606597.6787212042</v>
      </c>
      <c r="AT30" s="8">
        <v>567291.44044395001</v>
      </c>
      <c r="AU30" s="8">
        <v>0</v>
      </c>
      <c r="AV30" s="8">
        <v>0</v>
      </c>
      <c r="AW30" s="8">
        <v>-46261.925897059918</v>
      </c>
      <c r="AX30" s="8">
        <v>121653.89689259512</v>
      </c>
      <c r="AY30" s="10">
        <v>642683.41143948527</v>
      </c>
      <c r="AZ30" s="8">
        <v>2249281.0901606893</v>
      </c>
      <c r="BA30" s="15">
        <v>19</v>
      </c>
      <c r="BB30" s="12"/>
    </row>
    <row r="31" spans="1:54" s="13" customFormat="1" x14ac:dyDescent="0.2">
      <c r="A31" s="8">
        <v>753119.94118488301</v>
      </c>
      <c r="B31" s="8">
        <v>147237.67451045453</v>
      </c>
      <c r="C31" s="8">
        <v>9645.6234994334918</v>
      </c>
      <c r="D31" s="8">
        <v>3261.5275134793019</v>
      </c>
      <c r="E31" s="8">
        <v>13048.723267679621</v>
      </c>
      <c r="F31" s="8">
        <v>94242.161827731383</v>
      </c>
      <c r="G31" s="8">
        <v>1020555.6518036614</v>
      </c>
      <c r="H31" s="14" t="s">
        <v>22</v>
      </c>
      <c r="I31" s="8">
        <v>0</v>
      </c>
      <c r="J31" s="8">
        <v>0</v>
      </c>
      <c r="K31" s="8">
        <v>0</v>
      </c>
      <c r="L31" s="8">
        <v>2681.5922042394454</v>
      </c>
      <c r="M31" s="8">
        <v>0</v>
      </c>
      <c r="N31" s="8">
        <v>0</v>
      </c>
      <c r="O31" s="8">
        <v>4076.4969818557947</v>
      </c>
      <c r="P31" s="8">
        <v>0</v>
      </c>
      <c r="Q31" s="8">
        <v>3822.3999266063843</v>
      </c>
      <c r="R31" s="8">
        <v>0</v>
      </c>
      <c r="S31" s="8">
        <v>6360.5274641654514</v>
      </c>
      <c r="T31" s="8">
        <v>8627.9957657393206</v>
      </c>
      <c r="U31" s="8">
        <v>90264.075807925954</v>
      </c>
      <c r="V31" s="8">
        <v>0</v>
      </c>
      <c r="W31" s="8">
        <v>768.49801777378798</v>
      </c>
      <c r="X31" s="8">
        <v>3235.9883966603747</v>
      </c>
      <c r="Y31" s="8">
        <v>0</v>
      </c>
      <c r="Z31" s="8">
        <v>14776.192196351391</v>
      </c>
      <c r="AA31" s="8">
        <v>0</v>
      </c>
      <c r="AB31" s="8">
        <v>58072.862924681453</v>
      </c>
      <c r="AC31" s="8">
        <v>0</v>
      </c>
      <c r="AD31" s="8">
        <v>7840.9173232118374</v>
      </c>
      <c r="AE31" s="8">
        <v>3247.1469916217407</v>
      </c>
      <c r="AF31" s="8">
        <v>27828.914122572947</v>
      </c>
      <c r="AG31" s="8">
        <v>546213.29437127989</v>
      </c>
      <c r="AH31" s="8">
        <v>0</v>
      </c>
      <c r="AI31" s="8">
        <v>22332.112065557219</v>
      </c>
      <c r="AJ31" s="8">
        <v>545.23780141437533</v>
      </c>
      <c r="AK31" s="8">
        <v>3472.4988848640824</v>
      </c>
      <c r="AL31" s="8">
        <v>0</v>
      </c>
      <c r="AM31" s="8">
        <v>0</v>
      </c>
      <c r="AN31" s="8">
        <v>2444.5329321976756</v>
      </c>
      <c r="AO31" s="8">
        <v>0</v>
      </c>
      <c r="AP31" s="8">
        <v>0</v>
      </c>
      <c r="AQ31" s="8">
        <v>27295.729590109324</v>
      </c>
      <c r="AR31" s="8">
        <v>0</v>
      </c>
      <c r="AS31" s="8">
        <v>833907.01376882847</v>
      </c>
      <c r="AT31" s="8">
        <v>50195.332066305396</v>
      </c>
      <c r="AU31" s="8">
        <v>0</v>
      </c>
      <c r="AV31" s="8">
        <v>0</v>
      </c>
      <c r="AW31" s="8">
        <v>95426.798756138858</v>
      </c>
      <c r="AX31" s="8">
        <v>41026.507212388708</v>
      </c>
      <c r="AY31" s="10">
        <v>186648.63803483295</v>
      </c>
      <c r="AZ31" s="8">
        <v>1020555.6518036615</v>
      </c>
      <c r="BA31" s="15">
        <v>20</v>
      </c>
      <c r="BB31" s="12"/>
    </row>
    <row r="32" spans="1:54" s="13" customFormat="1" x14ac:dyDescent="0.2">
      <c r="A32" s="8">
        <v>418712.84895042051</v>
      </c>
      <c r="B32" s="8">
        <v>406283.83548611822</v>
      </c>
      <c r="C32" s="8">
        <v>24511.771395560623</v>
      </c>
      <c r="D32" s="8">
        <v>2618.6707115253603</v>
      </c>
      <c r="E32" s="8">
        <v>29541.591970174275</v>
      </c>
      <c r="F32" s="8">
        <v>35283.68740339089</v>
      </c>
      <c r="G32" s="8">
        <v>916952.4059171899</v>
      </c>
      <c r="H32" s="14" t="s">
        <v>23</v>
      </c>
      <c r="I32" s="8">
        <v>0</v>
      </c>
      <c r="J32" s="8">
        <v>0</v>
      </c>
      <c r="K32" s="8">
        <v>0</v>
      </c>
      <c r="L32" s="8">
        <v>0</v>
      </c>
      <c r="M32" s="8">
        <v>214.13644722685626</v>
      </c>
      <c r="N32" s="8">
        <v>107803.58321297428</v>
      </c>
      <c r="O32" s="8">
        <v>25432.201391849107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7169.7014376892248</v>
      </c>
      <c r="V32" s="8">
        <v>0</v>
      </c>
      <c r="W32" s="8">
        <v>0</v>
      </c>
      <c r="X32" s="8">
        <v>6513.9793388259595</v>
      </c>
      <c r="Y32" s="8">
        <v>0</v>
      </c>
      <c r="Z32" s="8">
        <v>17747.207294079093</v>
      </c>
      <c r="AA32" s="8">
        <v>2488.6763223290454</v>
      </c>
      <c r="AB32" s="8">
        <v>552.63143756199463</v>
      </c>
      <c r="AC32" s="8">
        <v>115.08288102510647</v>
      </c>
      <c r="AD32" s="8">
        <v>39908.917436578602</v>
      </c>
      <c r="AE32" s="8">
        <v>234301.77883750145</v>
      </c>
      <c r="AF32" s="8">
        <v>0</v>
      </c>
      <c r="AG32" s="8">
        <v>105863.63572217964</v>
      </c>
      <c r="AH32" s="8">
        <v>0</v>
      </c>
      <c r="AI32" s="8">
        <v>0</v>
      </c>
      <c r="AJ32" s="8">
        <v>0</v>
      </c>
      <c r="AK32" s="8">
        <v>0</v>
      </c>
      <c r="AL32" s="8">
        <v>9833.9889088869768</v>
      </c>
      <c r="AM32" s="8">
        <v>0</v>
      </c>
      <c r="AN32" s="8">
        <v>0</v>
      </c>
      <c r="AO32" s="8">
        <v>0</v>
      </c>
      <c r="AP32" s="8">
        <v>0</v>
      </c>
      <c r="AQ32" s="8">
        <v>12206.192820498252</v>
      </c>
      <c r="AR32" s="8">
        <v>0</v>
      </c>
      <c r="AS32" s="8">
        <v>570151.71348920558</v>
      </c>
      <c r="AT32" s="8">
        <v>0</v>
      </c>
      <c r="AU32" s="8">
        <v>0</v>
      </c>
      <c r="AV32" s="8">
        <v>0</v>
      </c>
      <c r="AW32" s="8">
        <v>-36994.336422303058</v>
      </c>
      <c r="AX32" s="8">
        <v>383795.02885028743</v>
      </c>
      <c r="AY32" s="10">
        <v>346800.69242798438</v>
      </c>
      <c r="AZ32" s="8">
        <v>916952.4059171899</v>
      </c>
      <c r="BA32" s="15">
        <v>21</v>
      </c>
      <c r="BB32" s="12"/>
    </row>
    <row r="33" spans="1:54" s="13" customFormat="1" x14ac:dyDescent="0.2">
      <c r="A33" s="8">
        <v>190050.4155900435</v>
      </c>
      <c r="B33" s="8">
        <v>2543587.6133616418</v>
      </c>
      <c r="C33" s="8">
        <v>153751.96542027217</v>
      </c>
      <c r="D33" s="8">
        <v>63932.45679876631</v>
      </c>
      <c r="E33" s="8">
        <v>35637.287769344875</v>
      </c>
      <c r="F33" s="8">
        <v>251456.85525803562</v>
      </c>
      <c r="G33" s="8">
        <v>3238416.5941981045</v>
      </c>
      <c r="H33" s="14" t="s">
        <v>24</v>
      </c>
      <c r="I33" s="8">
        <v>4140.6814534442619</v>
      </c>
      <c r="J33" s="8">
        <v>8110.8940918863755</v>
      </c>
      <c r="K33" s="8">
        <v>149.48140538855782</v>
      </c>
      <c r="L33" s="8">
        <v>2683.7940629514919</v>
      </c>
      <c r="M33" s="8">
        <v>11096.0077003891</v>
      </c>
      <c r="N33" s="8">
        <v>34728.292939295825</v>
      </c>
      <c r="O33" s="8">
        <v>55355.917249765494</v>
      </c>
      <c r="P33" s="8">
        <v>4706.4114646299495</v>
      </c>
      <c r="Q33" s="8">
        <v>12166.828966984505</v>
      </c>
      <c r="R33" s="8">
        <v>9641.1059359755654</v>
      </c>
      <c r="S33" s="8">
        <v>14479.952445682144</v>
      </c>
      <c r="T33" s="8">
        <v>51170.820459488539</v>
      </c>
      <c r="U33" s="8">
        <v>16276.079868136603</v>
      </c>
      <c r="V33" s="8">
        <v>0</v>
      </c>
      <c r="W33" s="8">
        <v>5373.0503762719927</v>
      </c>
      <c r="X33" s="8">
        <v>5310.6934268163486</v>
      </c>
      <c r="Y33" s="8">
        <v>4924.5564883281595</v>
      </c>
      <c r="Z33" s="8">
        <v>9573.0290367647212</v>
      </c>
      <c r="AA33" s="8">
        <v>11177.225130670548</v>
      </c>
      <c r="AB33" s="8">
        <v>8555.8952651568288</v>
      </c>
      <c r="AC33" s="8">
        <v>12192.518371462369</v>
      </c>
      <c r="AD33" s="8">
        <v>12648.944849174137</v>
      </c>
      <c r="AE33" s="8">
        <v>1406.8688373743005</v>
      </c>
      <c r="AF33" s="8">
        <v>33919.685361998359</v>
      </c>
      <c r="AG33" s="8">
        <v>44844.161577926337</v>
      </c>
      <c r="AH33" s="8">
        <v>36025.682320635839</v>
      </c>
      <c r="AI33" s="8">
        <v>277957.99788884702</v>
      </c>
      <c r="AJ33" s="8">
        <v>9294.2894765371893</v>
      </c>
      <c r="AK33" s="8">
        <v>18556.271669795831</v>
      </c>
      <c r="AL33" s="8">
        <v>3645.0500918538351</v>
      </c>
      <c r="AM33" s="8">
        <v>0</v>
      </c>
      <c r="AN33" s="8">
        <v>17344.302392316004</v>
      </c>
      <c r="AO33" s="8">
        <v>3841.160816096376</v>
      </c>
      <c r="AP33" s="8">
        <v>0</v>
      </c>
      <c r="AQ33" s="8">
        <v>117967.07395803372</v>
      </c>
      <c r="AR33" s="8">
        <v>0</v>
      </c>
      <c r="AS33" s="8">
        <v>859264.72538007831</v>
      </c>
      <c r="AT33" s="8">
        <v>529016.01501788956</v>
      </c>
      <c r="AU33" s="8">
        <v>0</v>
      </c>
      <c r="AV33" s="8">
        <v>1389558.0263465962</v>
      </c>
      <c r="AW33" s="8">
        <v>-260335.0870946543</v>
      </c>
      <c r="AX33" s="8">
        <v>720912.91454819439</v>
      </c>
      <c r="AY33" s="10">
        <v>2379151.868818026</v>
      </c>
      <c r="AZ33" s="8">
        <v>3238416.594198104</v>
      </c>
      <c r="BA33" s="15">
        <v>22</v>
      </c>
      <c r="BB33" s="12"/>
    </row>
    <row r="34" spans="1:54" s="13" customFormat="1" x14ac:dyDescent="0.2">
      <c r="A34" s="8">
        <v>427666.16358097189</v>
      </c>
      <c r="B34" s="8">
        <v>321764.08070983371</v>
      </c>
      <c r="C34" s="8">
        <v>28607.865512099663</v>
      </c>
      <c r="D34" s="8">
        <v>15460.399160199471</v>
      </c>
      <c r="E34" s="8">
        <v>34738.547329427893</v>
      </c>
      <c r="F34" s="8">
        <v>75018.636717717469</v>
      </c>
      <c r="G34" s="8">
        <v>903255.69301025011</v>
      </c>
      <c r="H34" s="14" t="s">
        <v>25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1891.2282390952173</v>
      </c>
      <c r="P34" s="8">
        <v>0</v>
      </c>
      <c r="Q34" s="8">
        <v>0</v>
      </c>
      <c r="R34" s="8">
        <v>0</v>
      </c>
      <c r="S34" s="8">
        <v>402.37221031470835</v>
      </c>
      <c r="T34" s="8">
        <v>0</v>
      </c>
      <c r="U34" s="8">
        <v>2835.9670548031318</v>
      </c>
      <c r="V34" s="8">
        <v>0</v>
      </c>
      <c r="W34" s="8">
        <v>10561.980543774263</v>
      </c>
      <c r="X34" s="8">
        <v>0</v>
      </c>
      <c r="Y34" s="8">
        <v>0</v>
      </c>
      <c r="Z34" s="8">
        <v>1414.0311902632898</v>
      </c>
      <c r="AA34" s="8">
        <v>2892.335546645988</v>
      </c>
      <c r="AB34" s="8">
        <v>0</v>
      </c>
      <c r="AC34" s="8">
        <v>6124.7435813126513</v>
      </c>
      <c r="AD34" s="8">
        <v>0</v>
      </c>
      <c r="AE34" s="8">
        <v>6114.6726281054862</v>
      </c>
      <c r="AF34" s="8">
        <v>0</v>
      </c>
      <c r="AG34" s="8">
        <v>0</v>
      </c>
      <c r="AH34" s="8">
        <v>18218.667230238836</v>
      </c>
      <c r="AI34" s="8">
        <v>1158.8091357024205</v>
      </c>
      <c r="AJ34" s="8">
        <v>15988.624601273186</v>
      </c>
      <c r="AK34" s="8">
        <v>18364.7039343705</v>
      </c>
      <c r="AL34" s="8">
        <v>0</v>
      </c>
      <c r="AM34" s="8">
        <v>0</v>
      </c>
      <c r="AN34" s="8">
        <v>65121.694822801299</v>
      </c>
      <c r="AO34" s="8">
        <v>0</v>
      </c>
      <c r="AP34" s="8">
        <v>0</v>
      </c>
      <c r="AQ34" s="8">
        <v>13625.758520288389</v>
      </c>
      <c r="AR34" s="8">
        <v>0</v>
      </c>
      <c r="AS34" s="8">
        <v>164715.58923898937</v>
      </c>
      <c r="AT34" s="8">
        <v>202048.06938801595</v>
      </c>
      <c r="AU34" s="8">
        <v>0</v>
      </c>
      <c r="AV34" s="8">
        <v>148344.22741874293</v>
      </c>
      <c r="AW34" s="8">
        <v>80587.989758195152</v>
      </c>
      <c r="AX34" s="8">
        <v>307559.81720630673</v>
      </c>
      <c r="AY34" s="10">
        <v>738540.10377126071</v>
      </c>
      <c r="AZ34" s="8">
        <v>903255.69301025011</v>
      </c>
      <c r="BA34" s="15">
        <v>23</v>
      </c>
      <c r="BB34" s="12"/>
    </row>
    <row r="35" spans="1:54" s="13" customFormat="1" x14ac:dyDescent="0.2">
      <c r="A35" s="8">
        <v>910038.44159035035</v>
      </c>
      <c r="B35" s="8">
        <v>0</v>
      </c>
      <c r="C35" s="8">
        <v>0</v>
      </c>
      <c r="D35" s="8">
        <v>24351.69479519677</v>
      </c>
      <c r="E35" s="8">
        <v>43633.900558018177</v>
      </c>
      <c r="F35" s="8">
        <v>0</v>
      </c>
      <c r="G35" s="8">
        <v>978024.03694356536</v>
      </c>
      <c r="H35" s="14" t="s">
        <v>26</v>
      </c>
      <c r="I35" s="8">
        <v>0</v>
      </c>
      <c r="J35" s="8">
        <v>288.94411699695917</v>
      </c>
      <c r="K35" s="8">
        <v>0</v>
      </c>
      <c r="L35" s="8">
        <v>51.800901365764091</v>
      </c>
      <c r="M35" s="8">
        <v>0</v>
      </c>
      <c r="N35" s="8">
        <v>33950.5498935621</v>
      </c>
      <c r="O35" s="8">
        <v>23959.20431387905</v>
      </c>
      <c r="P35" s="8">
        <v>7570.1753246298931</v>
      </c>
      <c r="Q35" s="8">
        <v>3526.7345019103132</v>
      </c>
      <c r="R35" s="8">
        <v>8473.5839396949377</v>
      </c>
      <c r="S35" s="8">
        <v>8944.8937449118293</v>
      </c>
      <c r="T35" s="8">
        <v>26133.762977256582</v>
      </c>
      <c r="U35" s="8">
        <v>16555.980693635996</v>
      </c>
      <c r="V35" s="8">
        <v>187.98200464078144</v>
      </c>
      <c r="W35" s="8">
        <v>11595.607295193098</v>
      </c>
      <c r="X35" s="8">
        <v>2736.9406641370852</v>
      </c>
      <c r="Y35" s="8">
        <v>3273.411331594441</v>
      </c>
      <c r="Z35" s="8">
        <v>6587.053173969417</v>
      </c>
      <c r="AA35" s="8">
        <v>21770.136294494965</v>
      </c>
      <c r="AB35" s="8">
        <v>22434.76221018473</v>
      </c>
      <c r="AC35" s="8">
        <v>10350.500732825305</v>
      </c>
      <c r="AD35" s="8">
        <v>2117.0083059895542</v>
      </c>
      <c r="AE35" s="8">
        <v>676.3730694881516</v>
      </c>
      <c r="AF35" s="8">
        <v>5388.4826746022272</v>
      </c>
      <c r="AG35" s="8">
        <v>2827.4192328963109</v>
      </c>
      <c r="AH35" s="8">
        <v>28258.056629878123</v>
      </c>
      <c r="AI35" s="8">
        <v>3227.3738591514489</v>
      </c>
      <c r="AJ35" s="8">
        <v>7425.1707497171483</v>
      </c>
      <c r="AK35" s="8">
        <v>10244.324928051637</v>
      </c>
      <c r="AL35" s="8">
        <v>34460.987533067193</v>
      </c>
      <c r="AM35" s="8">
        <v>0</v>
      </c>
      <c r="AN35" s="8">
        <v>24924.17307566381</v>
      </c>
      <c r="AO35" s="8">
        <v>23440.283930329348</v>
      </c>
      <c r="AP35" s="8">
        <v>0</v>
      </c>
      <c r="AQ35" s="8">
        <v>30493.340648366768</v>
      </c>
      <c r="AR35" s="8">
        <v>0</v>
      </c>
      <c r="AS35" s="8">
        <v>381875.01875208499</v>
      </c>
      <c r="AT35" s="8">
        <v>596149.01819148031</v>
      </c>
      <c r="AU35" s="8">
        <v>0</v>
      </c>
      <c r="AV35" s="8">
        <v>0</v>
      </c>
      <c r="AW35" s="8">
        <v>0</v>
      </c>
      <c r="AX35" s="8">
        <v>0</v>
      </c>
      <c r="AY35" s="10">
        <v>596149.01819148031</v>
      </c>
      <c r="AZ35" s="8">
        <v>978024.03694356536</v>
      </c>
      <c r="BA35" s="15">
        <v>24</v>
      </c>
      <c r="BB35" s="12"/>
    </row>
    <row r="36" spans="1:54" s="13" customFormat="1" x14ac:dyDescent="0.2">
      <c r="A36" s="8">
        <v>2023285.0447918882</v>
      </c>
      <c r="B36" s="8">
        <v>0</v>
      </c>
      <c r="C36" s="8">
        <v>0</v>
      </c>
      <c r="D36" s="8">
        <v>57799.813880420283</v>
      </c>
      <c r="E36" s="8">
        <v>5323.2858569540822</v>
      </c>
      <c r="F36" s="8">
        <v>0</v>
      </c>
      <c r="G36" s="8">
        <v>2086408.1445292626</v>
      </c>
      <c r="H36" s="14" t="s">
        <v>27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726.49265452465795</v>
      </c>
      <c r="O36" s="8">
        <v>282.33815405785799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1611.2193002722825</v>
      </c>
      <c r="AA36" s="8">
        <v>899.32106568329095</v>
      </c>
      <c r="AB36" s="8">
        <v>767.96288807015048</v>
      </c>
      <c r="AC36" s="8">
        <v>219.847972966355</v>
      </c>
      <c r="AD36" s="8">
        <v>0</v>
      </c>
      <c r="AE36" s="8">
        <v>0</v>
      </c>
      <c r="AF36" s="8">
        <v>8051.106241944839</v>
      </c>
      <c r="AG36" s="8">
        <v>0</v>
      </c>
      <c r="AH36" s="8">
        <v>2772.1461103868414</v>
      </c>
      <c r="AI36" s="8">
        <v>1054.4495521930819</v>
      </c>
      <c r="AJ36" s="8">
        <v>0</v>
      </c>
      <c r="AK36" s="8">
        <v>2626.1856832922585</v>
      </c>
      <c r="AL36" s="8">
        <v>3642.6607132859244</v>
      </c>
      <c r="AM36" s="8">
        <v>45073.550999999999</v>
      </c>
      <c r="AN36" s="8">
        <v>2600.9803174388389</v>
      </c>
      <c r="AO36" s="8">
        <v>3571.8529604915993</v>
      </c>
      <c r="AP36" s="8">
        <v>0</v>
      </c>
      <c r="AQ36" s="8">
        <v>1510.1596533537643</v>
      </c>
      <c r="AR36" s="8">
        <v>0</v>
      </c>
      <c r="AS36" s="8">
        <v>75410.274267961737</v>
      </c>
      <c r="AT36" s="8">
        <v>0</v>
      </c>
      <c r="AU36" s="8">
        <v>0</v>
      </c>
      <c r="AV36" s="8">
        <v>2010997.8702938976</v>
      </c>
      <c r="AW36" s="8">
        <v>0</v>
      </c>
      <c r="AX36" s="8">
        <v>0</v>
      </c>
      <c r="AY36" s="10">
        <v>2010997.8702938976</v>
      </c>
      <c r="AZ36" s="8">
        <v>2086408.1445618593</v>
      </c>
      <c r="BA36" s="15">
        <v>25</v>
      </c>
      <c r="BB36" s="12"/>
    </row>
    <row r="37" spans="1:54" s="13" customFormat="1" x14ac:dyDescent="0.2">
      <c r="A37" s="8">
        <v>3759078.2661256241</v>
      </c>
      <c r="B37" s="8">
        <v>0</v>
      </c>
      <c r="C37" s="8">
        <v>0</v>
      </c>
      <c r="D37" s="8">
        <v>0</v>
      </c>
      <c r="E37" s="8">
        <v>0</v>
      </c>
      <c r="F37" s="8">
        <v>-3759078.2661256241</v>
      </c>
      <c r="G37" s="8">
        <v>0</v>
      </c>
      <c r="H37" s="14" t="s">
        <v>28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10">
        <v>0</v>
      </c>
      <c r="AZ37" s="8">
        <v>0</v>
      </c>
      <c r="BA37" s="15">
        <v>26</v>
      </c>
      <c r="BB37" s="12"/>
    </row>
    <row r="38" spans="1:54" s="13" customFormat="1" x14ac:dyDescent="0.2">
      <c r="A38" s="8">
        <v>4232946.0389257837</v>
      </c>
      <c r="B38" s="8">
        <v>708942.83363024588</v>
      </c>
      <c r="C38" s="8">
        <v>0</v>
      </c>
      <c r="D38" s="8">
        <v>28724.577699898338</v>
      </c>
      <c r="E38" s="8">
        <v>14038.448770409303</v>
      </c>
      <c r="F38" s="8">
        <v>0</v>
      </c>
      <c r="G38" s="8">
        <v>4984651.8990263371</v>
      </c>
      <c r="H38" s="14" t="s">
        <v>29</v>
      </c>
      <c r="I38" s="8">
        <v>19935.836371739657</v>
      </c>
      <c r="J38" s="8">
        <v>136272.36542714425</v>
      </c>
      <c r="K38" s="8">
        <v>680.6748465550977</v>
      </c>
      <c r="L38" s="8">
        <v>5386.9703308343996</v>
      </c>
      <c r="M38" s="8">
        <v>9288.09033966077</v>
      </c>
      <c r="N38" s="8">
        <v>480479.03519451653</v>
      </c>
      <c r="O38" s="8">
        <v>30564.701502117689</v>
      </c>
      <c r="P38" s="8">
        <v>61948.117335491203</v>
      </c>
      <c r="Q38" s="8">
        <v>22036.841203985237</v>
      </c>
      <c r="R38" s="8">
        <v>32349.737855024527</v>
      </c>
      <c r="S38" s="8">
        <v>28131.088257410622</v>
      </c>
      <c r="T38" s="8">
        <v>106148.32809115476</v>
      </c>
      <c r="U38" s="8">
        <v>57595.057467019498</v>
      </c>
      <c r="V38" s="8">
        <v>593.43840190372021</v>
      </c>
      <c r="W38" s="8">
        <v>15901.056521184382</v>
      </c>
      <c r="X38" s="8">
        <v>17565.539003745813</v>
      </c>
      <c r="Y38" s="8">
        <v>10469.280215628845</v>
      </c>
      <c r="Z38" s="8">
        <v>15322.357474101789</v>
      </c>
      <c r="AA38" s="8">
        <v>66607.205414634009</v>
      </c>
      <c r="AB38" s="8">
        <v>19778.617585509535</v>
      </c>
      <c r="AC38" s="8">
        <v>24634.615514932731</v>
      </c>
      <c r="AD38" s="8">
        <v>31287.687052465411</v>
      </c>
      <c r="AE38" s="8">
        <v>1243.3492735443974</v>
      </c>
      <c r="AF38" s="8">
        <v>38661.422171215265</v>
      </c>
      <c r="AG38" s="8">
        <v>39814.097842520343</v>
      </c>
      <c r="AH38" s="8">
        <v>1027280.5389704584</v>
      </c>
      <c r="AI38" s="8">
        <v>55831.424658503456</v>
      </c>
      <c r="AJ38" s="8">
        <v>4307.448392890833</v>
      </c>
      <c r="AK38" s="8">
        <v>16352.581741716016</v>
      </c>
      <c r="AL38" s="8">
        <v>31260.883952160497</v>
      </c>
      <c r="AM38" s="8">
        <v>0</v>
      </c>
      <c r="AN38" s="8">
        <v>12107.531804949929</v>
      </c>
      <c r="AO38" s="8">
        <v>5582.985340489392</v>
      </c>
      <c r="AP38" s="8">
        <v>0</v>
      </c>
      <c r="AQ38" s="8">
        <v>70764.4331142023</v>
      </c>
      <c r="AR38" s="8">
        <v>0</v>
      </c>
      <c r="AS38" s="8">
        <v>2496183.3386694114</v>
      </c>
      <c r="AT38" s="8">
        <v>2073031.4526798916</v>
      </c>
      <c r="AU38" s="8">
        <v>0</v>
      </c>
      <c r="AV38" s="8">
        <v>0</v>
      </c>
      <c r="AW38" s="8">
        <v>0</v>
      </c>
      <c r="AX38" s="8">
        <v>415437.10767703474</v>
      </c>
      <c r="AY38" s="10">
        <v>2488468.5603569262</v>
      </c>
      <c r="AZ38" s="8">
        <v>4984651.899026338</v>
      </c>
      <c r="BA38" s="15">
        <v>27</v>
      </c>
      <c r="BB38" s="12"/>
    </row>
    <row r="39" spans="1:54" s="13" customFormat="1" x14ac:dyDescent="0.2">
      <c r="A39" s="8">
        <v>1233058.0577075009</v>
      </c>
      <c r="B39" s="8">
        <v>51885.664715754072</v>
      </c>
      <c r="C39" s="8">
        <v>0</v>
      </c>
      <c r="D39" s="8">
        <v>32639.200626530557</v>
      </c>
      <c r="E39" s="8">
        <v>5103.8591035795907</v>
      </c>
      <c r="F39" s="8">
        <v>0</v>
      </c>
      <c r="G39" s="8">
        <v>1322686.7821533652</v>
      </c>
      <c r="H39" s="14" t="s">
        <v>30</v>
      </c>
      <c r="I39" s="8">
        <v>0</v>
      </c>
      <c r="J39" s="8">
        <v>0</v>
      </c>
      <c r="K39" s="8">
        <v>0</v>
      </c>
      <c r="L39" s="8">
        <v>1872.0149240751562</v>
      </c>
      <c r="M39" s="8">
        <v>0</v>
      </c>
      <c r="N39" s="8">
        <v>2824.3761531906484</v>
      </c>
      <c r="O39" s="8">
        <v>12292.239477985349</v>
      </c>
      <c r="P39" s="8">
        <v>4475.7840221940451</v>
      </c>
      <c r="Q39" s="8">
        <v>784.79434998809666</v>
      </c>
      <c r="R39" s="8">
        <v>9290.5592807396733</v>
      </c>
      <c r="S39" s="8">
        <v>2583.4760890926755</v>
      </c>
      <c r="T39" s="8">
        <v>17095.999737345865</v>
      </c>
      <c r="U39" s="8">
        <v>14909.171167507569</v>
      </c>
      <c r="V39" s="8">
        <v>239.18781347514101</v>
      </c>
      <c r="W39" s="8">
        <v>5412.7342359265185</v>
      </c>
      <c r="X39" s="8">
        <v>2172.8107303448392</v>
      </c>
      <c r="Y39" s="8">
        <v>5925.0076653098804</v>
      </c>
      <c r="Z39" s="8">
        <v>4996.470879764569</v>
      </c>
      <c r="AA39" s="8">
        <v>1259.24137612811</v>
      </c>
      <c r="AB39" s="8">
        <v>4352.5703109879278</v>
      </c>
      <c r="AC39" s="8">
        <v>244.81757298920587</v>
      </c>
      <c r="AD39" s="8">
        <v>2740.5753805888703</v>
      </c>
      <c r="AE39" s="8">
        <v>1604.1013762320495</v>
      </c>
      <c r="AF39" s="8">
        <v>5615.9501760756193</v>
      </c>
      <c r="AG39" s="8">
        <v>7056.0352580451881</v>
      </c>
      <c r="AH39" s="8">
        <v>42695.553563905109</v>
      </c>
      <c r="AI39" s="8">
        <v>36698.012347566822</v>
      </c>
      <c r="AJ39" s="8">
        <v>88296.054569059721</v>
      </c>
      <c r="AK39" s="8">
        <v>32896.491104159133</v>
      </c>
      <c r="AL39" s="8">
        <v>103581.722530171</v>
      </c>
      <c r="AM39" s="8">
        <v>0</v>
      </c>
      <c r="AN39" s="8">
        <v>16276.245521435503</v>
      </c>
      <c r="AO39" s="8">
        <v>6410.3935010709683</v>
      </c>
      <c r="AP39" s="8">
        <v>0</v>
      </c>
      <c r="AQ39" s="8">
        <v>23983.899193877423</v>
      </c>
      <c r="AR39" s="8">
        <v>0</v>
      </c>
      <c r="AS39" s="8">
        <v>458586.29030923266</v>
      </c>
      <c r="AT39" s="8">
        <v>774426.5103020363</v>
      </c>
      <c r="AU39" s="8">
        <v>0</v>
      </c>
      <c r="AV39" s="8">
        <v>0</v>
      </c>
      <c r="AW39" s="8">
        <v>0</v>
      </c>
      <c r="AX39" s="8">
        <v>89673.981542096124</v>
      </c>
      <c r="AY39" s="10">
        <v>864100.49184413243</v>
      </c>
      <c r="AZ39" s="8">
        <v>1322686.7821533652</v>
      </c>
      <c r="BA39" s="15">
        <v>28</v>
      </c>
      <c r="BB39" s="12"/>
    </row>
    <row r="40" spans="1:54" s="13" customFormat="1" x14ac:dyDescent="0.2">
      <c r="A40" s="8">
        <v>1254808.6624519737</v>
      </c>
      <c r="B40" s="8">
        <v>116245.36131435369</v>
      </c>
      <c r="C40" s="8">
        <v>0</v>
      </c>
      <c r="D40" s="8">
        <v>3183.2446461737891</v>
      </c>
      <c r="E40" s="8">
        <v>29038.322385059146</v>
      </c>
      <c r="F40" s="8">
        <v>0</v>
      </c>
      <c r="G40" s="8">
        <v>1403275.5907975603</v>
      </c>
      <c r="H40" s="14" t="s">
        <v>31</v>
      </c>
      <c r="I40" s="8">
        <v>3324.953725449247</v>
      </c>
      <c r="J40" s="8">
        <v>17441.192534861668</v>
      </c>
      <c r="K40" s="8">
        <v>0</v>
      </c>
      <c r="L40" s="8">
        <v>2580.0040665410638</v>
      </c>
      <c r="M40" s="8">
        <v>1408.4600322368829</v>
      </c>
      <c r="N40" s="8">
        <v>4121.6004682890862</v>
      </c>
      <c r="O40" s="8">
        <v>602.08366267911492</v>
      </c>
      <c r="P40" s="8">
        <v>1553.7336602377372</v>
      </c>
      <c r="Q40" s="8">
        <v>3990.3602012746546</v>
      </c>
      <c r="R40" s="8">
        <v>8304.0614247998128</v>
      </c>
      <c r="S40" s="8">
        <v>4382.4450253962095</v>
      </c>
      <c r="T40" s="8">
        <v>2342.5679109470034</v>
      </c>
      <c r="U40" s="8">
        <v>13810.155840715715</v>
      </c>
      <c r="V40" s="8">
        <v>495.75203816503449</v>
      </c>
      <c r="W40" s="8">
        <v>7760.5796428654276</v>
      </c>
      <c r="X40" s="8">
        <v>1302.9781803389906</v>
      </c>
      <c r="Y40" s="8">
        <v>1290.2198176513746</v>
      </c>
      <c r="Z40" s="8">
        <v>4405.9782929576704</v>
      </c>
      <c r="AA40" s="8">
        <v>2956.9113326433053</v>
      </c>
      <c r="AB40" s="8">
        <v>3358.384566344042</v>
      </c>
      <c r="AC40" s="8">
        <v>953.79632787410117</v>
      </c>
      <c r="AD40" s="8">
        <v>771.31525917392548</v>
      </c>
      <c r="AE40" s="8">
        <v>984.98905912993143</v>
      </c>
      <c r="AF40" s="8">
        <v>6739.2772338563937</v>
      </c>
      <c r="AG40" s="8">
        <v>10956.929303579765</v>
      </c>
      <c r="AH40" s="8">
        <v>2055.6935421226308</v>
      </c>
      <c r="AI40" s="8">
        <v>15108.990235832811</v>
      </c>
      <c r="AJ40" s="8">
        <v>515.13672485172822</v>
      </c>
      <c r="AK40" s="8">
        <v>54103.004583240065</v>
      </c>
      <c r="AL40" s="8">
        <v>32990.265894665979</v>
      </c>
      <c r="AM40" s="8">
        <v>0</v>
      </c>
      <c r="AN40" s="8">
        <v>2984.9151212800898</v>
      </c>
      <c r="AO40" s="8">
        <v>5802.3927979094842</v>
      </c>
      <c r="AP40" s="8">
        <v>0</v>
      </c>
      <c r="AQ40" s="8">
        <v>30039.954955912035</v>
      </c>
      <c r="AR40" s="8">
        <v>863945.18689168699</v>
      </c>
      <c r="AS40" s="8">
        <v>1113384.2703555101</v>
      </c>
      <c r="AT40" s="8">
        <v>257800.52229156284</v>
      </c>
      <c r="AU40" s="8">
        <v>0</v>
      </c>
      <c r="AV40" s="8">
        <v>0</v>
      </c>
      <c r="AW40" s="8">
        <v>0</v>
      </c>
      <c r="AX40" s="8">
        <v>32090.79815048723</v>
      </c>
      <c r="AY40" s="10">
        <v>289891.32044205006</v>
      </c>
      <c r="AZ40" s="8">
        <v>1403275.5907975601</v>
      </c>
      <c r="BA40" s="15">
        <v>29</v>
      </c>
      <c r="BB40" s="12"/>
    </row>
    <row r="41" spans="1:54" s="13" customFormat="1" x14ac:dyDescent="0.2">
      <c r="A41" s="8">
        <v>1506552.6125953917</v>
      </c>
      <c r="B41" s="8">
        <v>170501.0168719347</v>
      </c>
      <c r="C41" s="8">
        <v>0</v>
      </c>
      <c r="D41" s="8">
        <v>32198.741482940706</v>
      </c>
      <c r="E41" s="8">
        <v>24650.097370307987</v>
      </c>
      <c r="F41" s="8">
        <v>0</v>
      </c>
      <c r="G41" s="8">
        <v>1733902.4683205751</v>
      </c>
      <c r="H41" s="14" t="s">
        <v>32</v>
      </c>
      <c r="I41" s="8">
        <v>4332.5053354933107</v>
      </c>
      <c r="J41" s="8">
        <v>75720.903252534757</v>
      </c>
      <c r="K41" s="8">
        <v>0</v>
      </c>
      <c r="L41" s="8">
        <v>0</v>
      </c>
      <c r="M41" s="8">
        <v>5862.8117252817183</v>
      </c>
      <c r="N41" s="8">
        <v>309099.55163474352</v>
      </c>
      <c r="O41" s="8">
        <v>15371.244657700649</v>
      </c>
      <c r="P41" s="8">
        <v>1170.5854638194467</v>
      </c>
      <c r="Q41" s="8">
        <v>3242.778811477815</v>
      </c>
      <c r="R41" s="8">
        <v>3638.0956918480724</v>
      </c>
      <c r="S41" s="8">
        <v>3951.2769981353385</v>
      </c>
      <c r="T41" s="8">
        <v>5804.1385840681778</v>
      </c>
      <c r="U41" s="8">
        <v>51982.836390842422</v>
      </c>
      <c r="V41" s="8">
        <v>566.96048353932247</v>
      </c>
      <c r="W41" s="8">
        <v>14674.829227247797</v>
      </c>
      <c r="X41" s="8">
        <v>0</v>
      </c>
      <c r="Y41" s="8">
        <v>6575.2706608410781</v>
      </c>
      <c r="Z41" s="8">
        <v>241.70589152940568</v>
      </c>
      <c r="AA41" s="8">
        <v>20486.907967110434</v>
      </c>
      <c r="AB41" s="8">
        <v>12312.060923834619</v>
      </c>
      <c r="AC41" s="8">
        <v>2318.0543432051691</v>
      </c>
      <c r="AD41" s="8">
        <v>2110.9982698352146</v>
      </c>
      <c r="AE41" s="8">
        <v>2060.3805628540686</v>
      </c>
      <c r="AF41" s="8">
        <v>37238.21895343763</v>
      </c>
      <c r="AG41" s="8">
        <v>35352.851233176902</v>
      </c>
      <c r="AH41" s="8">
        <v>117068.77547436133</v>
      </c>
      <c r="AI41" s="8">
        <v>33283.233799906884</v>
      </c>
      <c r="AJ41" s="8">
        <v>302802.32967345032</v>
      </c>
      <c r="AK41" s="8">
        <v>126877.29047389295</v>
      </c>
      <c r="AL41" s="8">
        <v>59198.642940783851</v>
      </c>
      <c r="AM41" s="8">
        <v>44446.674706995102</v>
      </c>
      <c r="AN41" s="8">
        <v>20035.366567694622</v>
      </c>
      <c r="AO41" s="8">
        <v>8249.7460946682022</v>
      </c>
      <c r="AP41" s="8">
        <v>0</v>
      </c>
      <c r="AQ41" s="8">
        <v>155470.9094755468</v>
      </c>
      <c r="AR41" s="8">
        <v>0</v>
      </c>
      <c r="AS41" s="8">
        <v>1481547.936269857</v>
      </c>
      <c r="AT41" s="8">
        <v>220508.64152481768</v>
      </c>
      <c r="AU41" s="8">
        <v>0</v>
      </c>
      <c r="AV41" s="8">
        <v>0</v>
      </c>
      <c r="AW41" s="8">
        <v>0</v>
      </c>
      <c r="AX41" s="8">
        <v>31845.890525900413</v>
      </c>
      <c r="AY41" s="10">
        <v>252354.53205071809</v>
      </c>
      <c r="AZ41" s="8">
        <v>1733902.4683205751</v>
      </c>
      <c r="BA41" s="15">
        <v>30</v>
      </c>
      <c r="BB41" s="12"/>
    </row>
    <row r="42" spans="1:54" s="13" customFormat="1" x14ac:dyDescent="0.2">
      <c r="A42" s="8">
        <v>1340019.2409598914</v>
      </c>
      <c r="B42" s="8">
        <v>0</v>
      </c>
      <c r="C42" s="8">
        <v>0</v>
      </c>
      <c r="D42" s="8">
        <v>3100.7703015201796</v>
      </c>
      <c r="E42" s="8">
        <v>1969.786551966884</v>
      </c>
      <c r="F42" s="8">
        <v>0</v>
      </c>
      <c r="G42" s="8">
        <v>1345089.7978133785</v>
      </c>
      <c r="H42" s="14" t="s">
        <v>33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1345089.7978133785</v>
      </c>
      <c r="AU42" s="8">
        <v>0</v>
      </c>
      <c r="AV42" s="8">
        <v>0</v>
      </c>
      <c r="AW42" s="8">
        <v>0</v>
      </c>
      <c r="AX42" s="8">
        <v>0</v>
      </c>
      <c r="AY42" s="10">
        <v>1345089.7978133785</v>
      </c>
      <c r="AZ42" s="8">
        <v>1345089.7978133785</v>
      </c>
      <c r="BA42" s="15">
        <v>31</v>
      </c>
      <c r="BB42" s="12"/>
    </row>
    <row r="43" spans="1:54" s="13" customFormat="1" x14ac:dyDescent="0.2">
      <c r="A43" s="8">
        <v>1747147.6445932642</v>
      </c>
      <c r="B43" s="8">
        <v>74910.789319938311</v>
      </c>
      <c r="C43" s="8">
        <v>0</v>
      </c>
      <c r="D43" s="8">
        <v>47716.35947006895</v>
      </c>
      <c r="E43" s="8">
        <v>18934.957625289266</v>
      </c>
      <c r="F43" s="8">
        <v>0</v>
      </c>
      <c r="G43" s="8">
        <v>1888709.7510085606</v>
      </c>
      <c r="H43" s="14" t="s">
        <v>34</v>
      </c>
      <c r="I43" s="8">
        <v>0</v>
      </c>
      <c r="J43" s="8">
        <v>0</v>
      </c>
      <c r="K43" s="8">
        <v>0</v>
      </c>
      <c r="L43" s="8">
        <v>11372.401756677773</v>
      </c>
      <c r="M43" s="8">
        <v>0</v>
      </c>
      <c r="N43" s="8">
        <v>8389.9383449704346</v>
      </c>
      <c r="O43" s="8">
        <v>954.63782350927636</v>
      </c>
      <c r="P43" s="8">
        <v>334.75841977867992</v>
      </c>
      <c r="Q43" s="8">
        <v>3176.5199245780154</v>
      </c>
      <c r="R43" s="8">
        <v>4547.5300947289061</v>
      </c>
      <c r="S43" s="8">
        <v>1383.5043130465699</v>
      </c>
      <c r="T43" s="8">
        <v>8499.4421397537608</v>
      </c>
      <c r="U43" s="8">
        <v>30474.504662664898</v>
      </c>
      <c r="V43" s="8">
        <v>187.88903957275323</v>
      </c>
      <c r="W43" s="8">
        <v>1031.0303234591722</v>
      </c>
      <c r="X43" s="8">
        <v>9195.8996400195028</v>
      </c>
      <c r="Y43" s="8">
        <v>1280.682259404977</v>
      </c>
      <c r="Z43" s="8">
        <v>11442.373013765506</v>
      </c>
      <c r="AA43" s="8">
        <v>4532.3193849419558</v>
      </c>
      <c r="AB43" s="8">
        <v>10027.917358637096</v>
      </c>
      <c r="AC43" s="8">
        <v>0</v>
      </c>
      <c r="AD43" s="8">
        <v>3759.7460606085237</v>
      </c>
      <c r="AE43" s="8">
        <v>798.41035881418952</v>
      </c>
      <c r="AF43" s="8">
        <v>7103.6366456733995</v>
      </c>
      <c r="AG43" s="8">
        <v>4475.8502930486829</v>
      </c>
      <c r="AH43" s="8">
        <v>6587.4476499658849</v>
      </c>
      <c r="AI43" s="8">
        <v>253265.827799947</v>
      </c>
      <c r="AJ43" s="8">
        <v>11942.01377743601</v>
      </c>
      <c r="AK43" s="8">
        <v>32837.814020412407</v>
      </c>
      <c r="AL43" s="8">
        <v>31085.077222713702</v>
      </c>
      <c r="AM43" s="8">
        <v>0</v>
      </c>
      <c r="AN43" s="8">
        <v>10435.158814297896</v>
      </c>
      <c r="AO43" s="8">
        <v>1670.4205528021134</v>
      </c>
      <c r="AP43" s="8">
        <v>0</v>
      </c>
      <c r="AQ43" s="8">
        <v>17624.930446647009</v>
      </c>
      <c r="AR43" s="8">
        <v>0</v>
      </c>
      <c r="AS43" s="8">
        <v>488417.68214187608</v>
      </c>
      <c r="AT43" s="8">
        <v>1390608.2350977615</v>
      </c>
      <c r="AU43" s="8">
        <v>0</v>
      </c>
      <c r="AV43" s="8">
        <v>0</v>
      </c>
      <c r="AW43" s="8">
        <v>0</v>
      </c>
      <c r="AX43" s="8">
        <v>9683.8337689231703</v>
      </c>
      <c r="AY43" s="10">
        <v>1400292.0688666846</v>
      </c>
      <c r="AZ43" s="8">
        <v>1888709.7510085606</v>
      </c>
      <c r="BA43" s="15">
        <v>32</v>
      </c>
      <c r="BB43" s="12"/>
    </row>
    <row r="44" spans="1:54" s="13" customFormat="1" x14ac:dyDescent="0.2">
      <c r="A44" s="8">
        <v>1886198.8465020321</v>
      </c>
      <c r="B44" s="8">
        <v>239244.94550010288</v>
      </c>
      <c r="C44" s="8">
        <v>0</v>
      </c>
      <c r="D44" s="8">
        <v>46861.524583317776</v>
      </c>
      <c r="E44" s="8">
        <v>15077.412224959455</v>
      </c>
      <c r="F44" s="8">
        <v>0</v>
      </c>
      <c r="G44" s="8">
        <v>2187382.7288104123</v>
      </c>
      <c r="H44" s="14" t="s">
        <v>35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18442.827124009815</v>
      </c>
      <c r="O44" s="8">
        <v>1995.1891660473007</v>
      </c>
      <c r="P44" s="8">
        <v>6529.8662736365623</v>
      </c>
      <c r="Q44" s="8">
        <v>1299.5250079470322</v>
      </c>
      <c r="R44" s="8">
        <v>4729.7877960320075</v>
      </c>
      <c r="S44" s="8">
        <v>1864.0850136145759</v>
      </c>
      <c r="T44" s="8">
        <v>3129.2468788560518</v>
      </c>
      <c r="U44" s="8">
        <v>16609.022712612197</v>
      </c>
      <c r="V44" s="8">
        <v>206.66196777589587</v>
      </c>
      <c r="W44" s="8">
        <v>5920.6013596189823</v>
      </c>
      <c r="X44" s="8">
        <v>0</v>
      </c>
      <c r="Y44" s="8">
        <v>919.92579158670583</v>
      </c>
      <c r="Z44" s="8">
        <v>0</v>
      </c>
      <c r="AA44" s="8">
        <v>2845.2353012745325</v>
      </c>
      <c r="AB44" s="8">
        <v>855.99456308160393</v>
      </c>
      <c r="AC44" s="8">
        <v>0</v>
      </c>
      <c r="AD44" s="8">
        <v>1002.4156168605011</v>
      </c>
      <c r="AE44" s="8">
        <v>2181.4110384917371</v>
      </c>
      <c r="AF44" s="8">
        <v>0</v>
      </c>
      <c r="AG44" s="8">
        <v>4330.5812317620339</v>
      </c>
      <c r="AH44" s="8">
        <v>38521.534835778104</v>
      </c>
      <c r="AI44" s="8">
        <v>20529.164779096725</v>
      </c>
      <c r="AJ44" s="8">
        <v>68545.564964670077</v>
      </c>
      <c r="AK44" s="8">
        <v>17592.41134720415</v>
      </c>
      <c r="AL44" s="8">
        <v>7125.2524761458844</v>
      </c>
      <c r="AM44" s="8">
        <v>0</v>
      </c>
      <c r="AN44" s="8">
        <v>218.07559057762126</v>
      </c>
      <c r="AO44" s="8">
        <v>0</v>
      </c>
      <c r="AP44" s="8">
        <v>0</v>
      </c>
      <c r="AQ44" s="8">
        <v>57671.30723900038</v>
      </c>
      <c r="AR44" s="8">
        <v>0</v>
      </c>
      <c r="AS44" s="8">
        <v>283065.68807568046</v>
      </c>
      <c r="AT44" s="8">
        <v>1679991.8448924648</v>
      </c>
      <c r="AU44" s="8">
        <v>0</v>
      </c>
      <c r="AV44" s="8">
        <v>0</v>
      </c>
      <c r="AW44" s="8">
        <v>0</v>
      </c>
      <c r="AX44" s="8">
        <v>224325.19584226661</v>
      </c>
      <c r="AY44" s="10">
        <v>1904317.0407347314</v>
      </c>
      <c r="AZ44" s="8">
        <v>2187382.7288104119</v>
      </c>
      <c r="BA44" s="15">
        <v>33</v>
      </c>
      <c r="BB44" s="12"/>
    </row>
    <row r="45" spans="1:54" s="13" customFormat="1" x14ac:dyDescent="0.2">
      <c r="A45" s="8">
        <v>130021.40067637015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130021.40067637015</v>
      </c>
      <c r="H45" s="14" t="s">
        <v>36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130021.40067637015</v>
      </c>
      <c r="AU45" s="8">
        <v>0</v>
      </c>
      <c r="AV45" s="8">
        <v>0</v>
      </c>
      <c r="AW45" s="8">
        <v>0</v>
      </c>
      <c r="AX45" s="8">
        <v>0</v>
      </c>
      <c r="AY45" s="10">
        <v>130021.40067637015</v>
      </c>
      <c r="AZ45" s="8">
        <v>130021.40067637015</v>
      </c>
      <c r="BA45" s="15">
        <v>34</v>
      </c>
      <c r="BB45" s="12"/>
    </row>
    <row r="46" spans="1:54" s="13" customFormat="1" x14ac:dyDescent="0.2">
      <c r="A46" s="8">
        <v>3323142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3323142</v>
      </c>
      <c r="H46" s="14" t="s">
        <v>37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235945</v>
      </c>
      <c r="AU46" s="8">
        <v>3087197</v>
      </c>
      <c r="AV46" s="8">
        <v>0</v>
      </c>
      <c r="AW46" s="8">
        <v>0</v>
      </c>
      <c r="AX46" s="8">
        <v>0</v>
      </c>
      <c r="AY46" s="10">
        <v>3323142</v>
      </c>
      <c r="AZ46" s="8">
        <v>3323142</v>
      </c>
      <c r="BA46" s="15">
        <v>35</v>
      </c>
      <c r="BB46" s="12"/>
    </row>
    <row r="47" spans="1:54" s="13" customFormat="1" x14ac:dyDescent="0.2">
      <c r="A47" s="8">
        <v>0</v>
      </c>
      <c r="B47" s="8">
        <v>20334.654737953289</v>
      </c>
      <c r="C47" s="8">
        <v>0</v>
      </c>
      <c r="D47" s="8">
        <v>0</v>
      </c>
      <c r="E47" s="8">
        <v>0</v>
      </c>
      <c r="F47" s="8">
        <v>0</v>
      </c>
      <c r="G47" s="8">
        <v>20334.654737953289</v>
      </c>
      <c r="H47" s="14" t="s">
        <v>52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38356.395936446243</v>
      </c>
      <c r="AR47" s="8">
        <v>0</v>
      </c>
      <c r="AS47" s="8">
        <v>38356.395936446243</v>
      </c>
      <c r="AT47" s="8">
        <v>-53802.113134558458</v>
      </c>
      <c r="AU47" s="8">
        <v>0</v>
      </c>
      <c r="AV47" s="8">
        <v>0</v>
      </c>
      <c r="AW47" s="8">
        <v>0</v>
      </c>
      <c r="AX47" s="8">
        <v>35780.371936065509</v>
      </c>
      <c r="AY47" s="10">
        <v>-18021.741198492949</v>
      </c>
      <c r="AZ47" s="8">
        <v>20334.654737953293</v>
      </c>
      <c r="BA47" s="15">
        <v>36</v>
      </c>
      <c r="BB47" s="12"/>
    </row>
    <row r="48" spans="1:54" s="13" customFormat="1" x14ac:dyDescent="0.2">
      <c r="A48" s="8">
        <v>47984440.367146179</v>
      </c>
      <c r="B48" s="8">
        <v>8811963.4166968614</v>
      </c>
      <c r="C48" s="8">
        <v>455415.59763731831</v>
      </c>
      <c r="D48" s="8">
        <v>798425.62614293303</v>
      </c>
      <c r="E48" s="8">
        <v>1390939.9158804866</v>
      </c>
      <c r="F48" s="8">
        <v>0</v>
      </c>
      <c r="G48" s="8">
        <v>59441184.923503779</v>
      </c>
      <c r="H48" s="16" t="s">
        <v>53</v>
      </c>
      <c r="I48" s="8">
        <v>436713.83422097721</v>
      </c>
      <c r="J48" s="8">
        <v>488626.62421620177</v>
      </c>
      <c r="K48" s="8">
        <v>2837.4383798381728</v>
      </c>
      <c r="L48" s="8">
        <v>590344.32505504647</v>
      </c>
      <c r="M48" s="8">
        <v>87849.744030697853</v>
      </c>
      <c r="N48" s="8">
        <v>1441257.9075658189</v>
      </c>
      <c r="O48" s="8">
        <v>352895.5524443952</v>
      </c>
      <c r="P48" s="8">
        <v>1363955.8349232695</v>
      </c>
      <c r="Q48" s="8">
        <v>309588.65565778344</v>
      </c>
      <c r="R48" s="8">
        <v>1396880.3179998137</v>
      </c>
      <c r="S48" s="8">
        <v>446045.54698217905</v>
      </c>
      <c r="T48" s="8">
        <v>1564362.5094562003</v>
      </c>
      <c r="U48" s="8">
        <v>827136.00299306738</v>
      </c>
      <c r="V48" s="8">
        <v>35808.901037109565</v>
      </c>
      <c r="W48" s="8">
        <v>669018.15233152034</v>
      </c>
      <c r="X48" s="8">
        <v>591636.34227737284</v>
      </c>
      <c r="Y48" s="8">
        <v>209222.87030974732</v>
      </c>
      <c r="Z48" s="8">
        <v>304320.32509299862</v>
      </c>
      <c r="AA48" s="8">
        <v>945603.50272752717</v>
      </c>
      <c r="AB48" s="8">
        <v>374007.03730247868</v>
      </c>
      <c r="AC48" s="8">
        <v>369898.68004100776</v>
      </c>
      <c r="AD48" s="8">
        <v>144104.14097687576</v>
      </c>
      <c r="AE48" s="8">
        <v>286456.06343299383</v>
      </c>
      <c r="AF48" s="8">
        <v>319923.62495730259</v>
      </c>
      <c r="AG48" s="8">
        <v>1202690.0879238213</v>
      </c>
      <c r="AH48" s="8">
        <v>1446903.9833455272</v>
      </c>
      <c r="AI48" s="8">
        <v>1922033.6405881846</v>
      </c>
      <c r="AJ48" s="8">
        <v>536722.84992947662</v>
      </c>
      <c r="AK48" s="8">
        <v>418479.60070485703</v>
      </c>
      <c r="AL48" s="8">
        <v>471474.32907661737</v>
      </c>
      <c r="AM48" s="8">
        <v>89520.225706995101</v>
      </c>
      <c r="AN48" s="8">
        <v>761142.16224412981</v>
      </c>
      <c r="AO48" s="8">
        <v>1111556.8399631544</v>
      </c>
      <c r="AP48" s="8">
        <v>0</v>
      </c>
      <c r="AQ48" s="8">
        <v>967346</v>
      </c>
      <c r="AR48" s="8">
        <v>863945.18689168699</v>
      </c>
      <c r="AS48" s="8">
        <v>23350308.840786673</v>
      </c>
      <c r="AT48" s="8">
        <v>19518920.682575665</v>
      </c>
      <c r="AU48" s="8">
        <v>3087197</v>
      </c>
      <c r="AV48" s="8">
        <v>3757082.4407882509</v>
      </c>
      <c r="AW48" s="8">
        <v>-197120.01359312492</v>
      </c>
      <c r="AX48" s="8">
        <v>9924795.9794743061</v>
      </c>
      <c r="AY48" s="10">
        <v>36090876.089245096</v>
      </c>
      <c r="AZ48" s="8">
        <v>59441184.930031769</v>
      </c>
      <c r="BA48" s="17"/>
      <c r="BB48" s="12"/>
    </row>
    <row r="49" spans="1:54" s="13" customFormat="1" ht="9.9499999999999993" customHeight="1" x14ac:dyDescent="0.2">
      <c r="A49" s="18" t="s">
        <v>54</v>
      </c>
      <c r="B49" s="12"/>
      <c r="C49" s="12"/>
      <c r="D49" s="12"/>
      <c r="E49" s="12"/>
      <c r="F49" s="12"/>
      <c r="G49" s="12"/>
      <c r="H49" s="16" t="s">
        <v>55</v>
      </c>
      <c r="I49" s="8">
        <v>2199379.3886576402</v>
      </c>
      <c r="J49" s="8">
        <v>1272757.9987186859</v>
      </c>
      <c r="K49" s="8">
        <v>42150.166615445101</v>
      </c>
      <c r="L49" s="8">
        <v>1700340.5350661811</v>
      </c>
      <c r="M49" s="8">
        <v>331555.29170112021</v>
      </c>
      <c r="N49" s="8">
        <v>3292512.2139774594</v>
      </c>
      <c r="O49" s="8">
        <v>1464938.6294167249</v>
      </c>
      <c r="P49" s="8">
        <v>1799978.8345175118</v>
      </c>
      <c r="Q49" s="8">
        <v>513367.15331994789</v>
      </c>
      <c r="R49" s="8">
        <v>1854587.7902729572</v>
      </c>
      <c r="S49" s="8">
        <v>661082.21626343962</v>
      </c>
      <c r="T49" s="8">
        <v>1955353.2991416873</v>
      </c>
      <c r="U49" s="8">
        <v>1513871.4226552087</v>
      </c>
      <c r="V49" s="8">
        <v>60376.362641897744</v>
      </c>
      <c r="W49" s="8">
        <v>1110326.9109006776</v>
      </c>
      <c r="X49" s="8">
        <v>880510.46023851808</v>
      </c>
      <c r="Y49" s="8">
        <v>335730.9328774818</v>
      </c>
      <c r="Z49" s="8">
        <v>522037.38248364173</v>
      </c>
      <c r="AA49" s="8">
        <v>1470952.3828917358</v>
      </c>
      <c r="AB49" s="8">
        <v>766044.72018581245</v>
      </c>
      <c r="AC49" s="8">
        <v>418169.76320131239</v>
      </c>
      <c r="AD49" s="8">
        <v>193760.46605098</v>
      </c>
      <c r="AE49" s="8">
        <v>428029.2769687798</v>
      </c>
      <c r="AF49" s="8">
        <v>856378.81315484829</v>
      </c>
      <c r="AG49" s="8">
        <v>1964226.3479513</v>
      </c>
      <c r="AH49" s="8">
        <v>3661582.6712857038</v>
      </c>
      <c r="AI49" s="8">
        <v>4188302.6211243714</v>
      </c>
      <c r="AJ49" s="8">
        <v>1233058.0577075009</v>
      </c>
      <c r="AK49" s="8">
        <v>1265490.6598039565</v>
      </c>
      <c r="AL49" s="8">
        <v>1444448.5205295593</v>
      </c>
      <c r="AM49" s="8">
        <v>1340019.2409598914</v>
      </c>
      <c r="AN49" s="8">
        <v>1800956.051079683</v>
      </c>
      <c r="AO49" s="8">
        <v>1885396.3841001</v>
      </c>
      <c r="AP49" s="8">
        <v>130021.40067637015</v>
      </c>
      <c r="AQ49" s="8">
        <v>3426746</v>
      </c>
      <c r="AR49" s="8">
        <v>0</v>
      </c>
      <c r="AS49" s="8">
        <v>47984440.367138132</v>
      </c>
      <c r="BB49" s="12"/>
    </row>
    <row r="50" spans="1:54" s="13" customFormat="1" ht="9.9499999999999993" customHeight="1" x14ac:dyDescent="0.2">
      <c r="A50" s="19" t="s">
        <v>56</v>
      </c>
      <c r="B50" s="20"/>
      <c r="C50" s="20"/>
      <c r="D50" s="20"/>
      <c r="E50" s="20"/>
      <c r="F50" s="20"/>
      <c r="G50" s="20"/>
      <c r="H50" s="21" t="s">
        <v>57</v>
      </c>
      <c r="I50" s="8">
        <v>1762665.5544366629</v>
      </c>
      <c r="J50" s="8">
        <v>784131.37450248422</v>
      </c>
      <c r="K50" s="8">
        <v>39312.728235606926</v>
      </c>
      <c r="L50" s="8">
        <v>1109996.2100111346</v>
      </c>
      <c r="M50" s="8">
        <v>243705.54767042235</v>
      </c>
      <c r="N50" s="8">
        <v>1851254.3064116405</v>
      </c>
      <c r="O50" s="8">
        <v>1112043.0769723298</v>
      </c>
      <c r="P50" s="8">
        <v>436022.99959424231</v>
      </c>
      <c r="Q50" s="8">
        <v>203778.49766216445</v>
      </c>
      <c r="R50" s="8">
        <v>457707.47227314347</v>
      </c>
      <c r="S50" s="8">
        <v>215036.66928126058</v>
      </c>
      <c r="T50" s="8">
        <v>390990.78968548705</v>
      </c>
      <c r="U50" s="8">
        <v>686735.41966214136</v>
      </c>
      <c r="V50" s="8">
        <v>24567.461604788179</v>
      </c>
      <c r="W50" s="8">
        <v>441308.75856915722</v>
      </c>
      <c r="X50" s="8">
        <v>288874.11796114524</v>
      </c>
      <c r="Y50" s="8">
        <v>126508.06256773448</v>
      </c>
      <c r="Z50" s="8">
        <v>217717.05739064311</v>
      </c>
      <c r="AA50" s="8">
        <v>525348.88016420859</v>
      </c>
      <c r="AB50" s="8">
        <v>392037.68288333376</v>
      </c>
      <c r="AC50" s="8">
        <v>48271.083160304639</v>
      </c>
      <c r="AD50" s="8">
        <v>49656.325074104243</v>
      </c>
      <c r="AE50" s="8">
        <v>141573.21353578597</v>
      </c>
      <c r="AF50" s="8">
        <v>536455.18819754571</v>
      </c>
      <c r="AG50" s="8">
        <v>761536.26002747868</v>
      </c>
      <c r="AH50" s="8">
        <v>2214678.6879401766</v>
      </c>
      <c r="AI50" s="8">
        <v>2266268.9805361871</v>
      </c>
      <c r="AJ50" s="8">
        <v>696335.20777802425</v>
      </c>
      <c r="AK50" s="8">
        <v>847011.05909909948</v>
      </c>
      <c r="AL50" s="8">
        <v>972974.19145294197</v>
      </c>
      <c r="AM50" s="8">
        <v>1250499.0152528964</v>
      </c>
      <c r="AN50" s="8">
        <v>1039813.8888355532</v>
      </c>
      <c r="AO50" s="8">
        <v>773839.54413694562</v>
      </c>
      <c r="AP50" s="8">
        <v>130021.40067637015</v>
      </c>
      <c r="AQ50" s="8">
        <v>2459400</v>
      </c>
      <c r="AR50" s="8">
        <v>-863945.18689168699</v>
      </c>
      <c r="AS50" s="8">
        <v>24634131.526351459</v>
      </c>
      <c r="BB50" s="12"/>
    </row>
    <row r="51" spans="1:54" s="13" customFormat="1" ht="9.9499999999999993" customHeight="1" x14ac:dyDescent="0.2">
      <c r="A51" s="22"/>
      <c r="B51" s="20"/>
      <c r="C51" s="20"/>
      <c r="D51" s="20"/>
      <c r="E51" s="20"/>
      <c r="F51" s="20"/>
      <c r="G51" s="20"/>
      <c r="H51" s="23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5"/>
      <c r="AS51" s="24"/>
      <c r="BB51" s="12"/>
    </row>
    <row r="52" spans="1:54" s="28" customFormat="1" ht="10.5" customHeight="1" x14ac:dyDescent="0.2">
      <c r="A52" s="38" t="s">
        <v>58</v>
      </c>
      <c r="B52" s="39"/>
      <c r="C52" s="39"/>
      <c r="D52" s="39"/>
      <c r="E52" s="39"/>
      <c r="F52" s="39"/>
      <c r="G52" s="39"/>
      <c r="H52" s="2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S52" s="27"/>
      <c r="AT52" s="29"/>
      <c r="AU52" s="30"/>
      <c r="AV52" s="30"/>
      <c r="AW52" s="30"/>
      <c r="AX52" s="30"/>
      <c r="AY52" s="30"/>
      <c r="AZ52" s="31"/>
      <c r="BA52" s="31"/>
      <c r="BB52" s="32"/>
    </row>
    <row r="53" spans="1:54" s="28" customFormat="1" ht="10.5" customHeight="1" x14ac:dyDescent="0.2">
      <c r="A53" s="38" t="s">
        <v>59</v>
      </c>
      <c r="B53" s="38"/>
      <c r="C53" s="38"/>
      <c r="D53" s="38"/>
      <c r="E53" s="38"/>
      <c r="F53" s="38"/>
      <c r="G53" s="38"/>
      <c r="H53" s="38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9"/>
      <c r="AU53" s="30"/>
      <c r="AV53" s="30"/>
      <c r="AW53" s="30"/>
      <c r="AX53" s="30"/>
      <c r="AY53" s="30"/>
      <c r="AZ53" s="31"/>
      <c r="BA53" s="31"/>
      <c r="BB53" s="32"/>
    </row>
    <row r="54" spans="1:54" s="28" customFormat="1" ht="10.5" customHeight="1" x14ac:dyDescent="0.2">
      <c r="A54" s="38" t="s">
        <v>60</v>
      </c>
      <c r="B54" s="38"/>
      <c r="C54" s="38"/>
      <c r="D54" s="38"/>
      <c r="E54" s="38"/>
      <c r="F54" s="38"/>
      <c r="G54" s="38"/>
      <c r="H54" s="38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2"/>
      <c r="AS54" s="33"/>
      <c r="AT54" s="40" t="s">
        <v>61</v>
      </c>
      <c r="AU54" s="41"/>
      <c r="AV54" s="41"/>
      <c r="AW54" s="41"/>
      <c r="AX54" s="41"/>
      <c r="AY54" s="41"/>
      <c r="AZ54" s="36">
        <f>+(AT48+AU48)+AV48+AW48+AX48-B48</f>
        <v>27278912.672548234</v>
      </c>
      <c r="BA54" s="37"/>
      <c r="BB54" s="32"/>
    </row>
    <row r="55" spans="1:54" s="28" customFormat="1" ht="10.5" customHeight="1" x14ac:dyDescent="0.2">
      <c r="A55" s="38" t="s">
        <v>62</v>
      </c>
      <c r="B55" s="38"/>
      <c r="C55" s="38"/>
      <c r="D55" s="38"/>
      <c r="E55" s="38"/>
      <c r="F55" s="38"/>
      <c r="G55" s="38"/>
      <c r="H55" s="26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2"/>
      <c r="AS55" s="33"/>
      <c r="AT55" s="42" t="s">
        <v>63</v>
      </c>
      <c r="AU55" s="43"/>
      <c r="AV55" s="43"/>
      <c r="AW55" s="43"/>
      <c r="AX55" s="43"/>
      <c r="AY55" s="43"/>
      <c r="AZ55" s="44">
        <f>+AS50+C48+D48+E48</f>
        <v>27278912.666012198</v>
      </c>
      <c r="BA55" s="45"/>
      <c r="BB55" s="32"/>
    </row>
    <row r="56" spans="1:54" s="28" customFormat="1" ht="10.5" customHeight="1" x14ac:dyDescent="0.2">
      <c r="A56" s="38" t="s">
        <v>64</v>
      </c>
      <c r="B56" s="38"/>
      <c r="C56" s="38"/>
      <c r="D56" s="38"/>
      <c r="E56" s="38"/>
      <c r="F56" s="38"/>
      <c r="G56" s="38"/>
      <c r="H56" s="26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2"/>
      <c r="AS56" s="33"/>
      <c r="AT56" s="46" t="s">
        <v>65</v>
      </c>
      <c r="AU56" s="47"/>
      <c r="AV56" s="47"/>
      <c r="AW56" s="47"/>
      <c r="AX56" s="47"/>
      <c r="AY56" s="47"/>
      <c r="AZ56" s="48">
        <f>+A48+C48+D48+E48-AS48</f>
        <v>27278912.666020244</v>
      </c>
      <c r="BA56" s="49"/>
      <c r="BB56" s="32"/>
    </row>
    <row r="57" spans="1:54" s="28" customFormat="1" ht="10.5" customHeight="1" x14ac:dyDescent="0.2">
      <c r="A57" s="38" t="s">
        <v>66</v>
      </c>
      <c r="B57" s="38"/>
      <c r="C57" s="38"/>
      <c r="D57" s="38"/>
      <c r="E57" s="38"/>
      <c r="F57" s="38"/>
      <c r="G57" s="38"/>
      <c r="H57" s="38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2"/>
      <c r="AS57" s="33"/>
      <c r="AT57" s="29"/>
      <c r="AU57" s="30"/>
      <c r="AV57" s="30"/>
      <c r="AW57" s="30"/>
      <c r="AX57" s="30"/>
      <c r="AY57" s="30"/>
      <c r="AZ57" s="31"/>
      <c r="BA57" s="31"/>
      <c r="BB57" s="32"/>
    </row>
    <row r="58" spans="1:54" s="13" customFormat="1" x14ac:dyDescent="0.2">
      <c r="H58" s="34"/>
    </row>
    <row r="59" spans="1:54" s="13" customFormat="1" x14ac:dyDescent="0.2">
      <c r="H59" s="34"/>
    </row>
    <row r="60" spans="1:54" s="13" customFormat="1" x14ac:dyDescent="0.2"/>
    <row r="61" spans="1:54" s="13" customFormat="1" x14ac:dyDescent="0.2"/>
    <row r="62" spans="1:54" s="13" customFormat="1" x14ac:dyDescent="0.2"/>
    <row r="63" spans="1:54" s="13" customFormat="1" x14ac:dyDescent="0.2"/>
    <row r="64" spans="1:54" s="13" customFormat="1" x14ac:dyDescent="0.2"/>
    <row r="65" s="13" customFormat="1" x14ac:dyDescent="0.2"/>
    <row r="66" s="13" customFormat="1" x14ac:dyDescent="0.2"/>
    <row r="67" s="13" customFormat="1" x14ac:dyDescent="0.2"/>
    <row r="68" s="13" customFormat="1" x14ac:dyDescent="0.2"/>
    <row r="69" s="13" customFormat="1" x14ac:dyDescent="0.2"/>
    <row r="70" s="13" customFormat="1" x14ac:dyDescent="0.2"/>
    <row r="71" s="13" customFormat="1" x14ac:dyDescent="0.2"/>
    <row r="72" s="13" customFormat="1" x14ac:dyDescent="0.2"/>
    <row r="73" s="13" customFormat="1" x14ac:dyDescent="0.2"/>
    <row r="74" s="13" customFormat="1" x14ac:dyDescent="0.2"/>
    <row r="75" s="13" customFormat="1" x14ac:dyDescent="0.2"/>
    <row r="76" s="13" customFormat="1" x14ac:dyDescent="0.2"/>
    <row r="77" s="13" customFormat="1" x14ac:dyDescent="0.2"/>
    <row r="78" s="13" customFormat="1" x14ac:dyDescent="0.2"/>
    <row r="79" s="13" customFormat="1" x14ac:dyDescent="0.2"/>
    <row r="80" s="13" customFormat="1" x14ac:dyDescent="0.2"/>
    <row r="81" s="13" customFormat="1" x14ac:dyDescent="0.2"/>
    <row r="82" s="13" customFormat="1" x14ac:dyDescent="0.2"/>
    <row r="83" s="13" customFormat="1" x14ac:dyDescent="0.2"/>
    <row r="84" s="13" customFormat="1" x14ac:dyDescent="0.2"/>
    <row r="85" s="13" customFormat="1" x14ac:dyDescent="0.2"/>
    <row r="86" s="13" customFormat="1" x14ac:dyDescent="0.2"/>
    <row r="87" s="13" customFormat="1" x14ac:dyDescent="0.2"/>
    <row r="88" s="13" customFormat="1" x14ac:dyDescent="0.2"/>
    <row r="89" s="13" customFormat="1" x14ac:dyDescent="0.2"/>
    <row r="90" s="13" customFormat="1" x14ac:dyDescent="0.2"/>
    <row r="91" s="13" customFormat="1" x14ac:dyDescent="0.2"/>
    <row r="92" s="13" customFormat="1" x14ac:dyDescent="0.2"/>
    <row r="93" s="13" customFormat="1" x14ac:dyDescent="0.2"/>
    <row r="94" s="13" customFormat="1" x14ac:dyDescent="0.2"/>
    <row r="95" s="13" customFormat="1" x14ac:dyDescent="0.2"/>
    <row r="96" s="13" customFormat="1" x14ac:dyDescent="0.2"/>
    <row r="97" s="13" customFormat="1" x14ac:dyDescent="0.2"/>
    <row r="98" s="13" customFormat="1" x14ac:dyDescent="0.2"/>
    <row r="99" s="13" customFormat="1" x14ac:dyDescent="0.2"/>
    <row r="100" s="13" customFormat="1" x14ac:dyDescent="0.2"/>
    <row r="101" s="13" customFormat="1" x14ac:dyDescent="0.2"/>
    <row r="102" s="13" customFormat="1" x14ac:dyDescent="0.2"/>
    <row r="103" s="13" customFormat="1" x14ac:dyDescent="0.2"/>
    <row r="104" s="13" customFormat="1" x14ac:dyDescent="0.2"/>
    <row r="105" s="13" customFormat="1" x14ac:dyDescent="0.2"/>
    <row r="106" s="13" customFormat="1" x14ac:dyDescent="0.2"/>
    <row r="107" s="13" customFormat="1" x14ac:dyDescent="0.2"/>
    <row r="108" s="13" customFormat="1" x14ac:dyDescent="0.2"/>
    <row r="109" s="13" customFormat="1" x14ac:dyDescent="0.2"/>
    <row r="110" s="13" customFormat="1" x14ac:dyDescent="0.2"/>
    <row r="111" s="13" customFormat="1" x14ac:dyDescent="0.2"/>
    <row r="112" s="13" customFormat="1" x14ac:dyDescent="0.2"/>
    <row r="113" s="13" customFormat="1" x14ac:dyDescent="0.2"/>
    <row r="114" s="13" customFormat="1" x14ac:dyDescent="0.2"/>
    <row r="115" s="13" customFormat="1" x14ac:dyDescent="0.2"/>
    <row r="116" s="13" customFormat="1" x14ac:dyDescent="0.2"/>
    <row r="117" s="13" customFormat="1" x14ac:dyDescent="0.2"/>
    <row r="118" s="13" customFormat="1" x14ac:dyDescent="0.2"/>
    <row r="119" s="13" customFormat="1" x14ac:dyDescent="0.2"/>
    <row r="120" s="13" customFormat="1" x14ac:dyDescent="0.2"/>
    <row r="121" s="13" customFormat="1" x14ac:dyDescent="0.2"/>
    <row r="122" s="13" customFormat="1" x14ac:dyDescent="0.2"/>
    <row r="123" s="13" customFormat="1" x14ac:dyDescent="0.2"/>
    <row r="124" s="13" customFormat="1" x14ac:dyDescent="0.2"/>
    <row r="125" s="13" customFormat="1" x14ac:dyDescent="0.2"/>
    <row r="126" s="13" customFormat="1" x14ac:dyDescent="0.2"/>
    <row r="127" s="13" customFormat="1" x14ac:dyDescent="0.2"/>
    <row r="128" s="13" customFormat="1" x14ac:dyDescent="0.2"/>
    <row r="129" s="13" customFormat="1" x14ac:dyDescent="0.2"/>
    <row r="130" s="13" customFormat="1" x14ac:dyDescent="0.2"/>
    <row r="131" s="13" customFormat="1" x14ac:dyDescent="0.2"/>
    <row r="132" s="13" customFormat="1" x14ac:dyDescent="0.2"/>
    <row r="133" s="13" customFormat="1" x14ac:dyDescent="0.2"/>
    <row r="134" s="13" customFormat="1" x14ac:dyDescent="0.2"/>
    <row r="135" s="13" customFormat="1" x14ac:dyDescent="0.2"/>
    <row r="136" s="13" customFormat="1" x14ac:dyDescent="0.2"/>
    <row r="137" s="13" customFormat="1" x14ac:dyDescent="0.2"/>
    <row r="138" s="13" customFormat="1" x14ac:dyDescent="0.2"/>
    <row r="139" s="13" customFormat="1" x14ac:dyDescent="0.2"/>
    <row r="140" s="13" customFormat="1" x14ac:dyDescent="0.2"/>
    <row r="141" s="13" customFormat="1" x14ac:dyDescent="0.2"/>
    <row r="142" s="13" customFormat="1" x14ac:dyDescent="0.2"/>
    <row r="143" s="13" customFormat="1" x14ac:dyDescent="0.2"/>
    <row r="144" s="13" customFormat="1" x14ac:dyDescent="0.2"/>
    <row r="145" s="13" customFormat="1" x14ac:dyDescent="0.2"/>
    <row r="146" s="13" customFormat="1" x14ac:dyDescent="0.2"/>
    <row r="147" s="13" customFormat="1" x14ac:dyDescent="0.2"/>
    <row r="148" s="13" customFormat="1" x14ac:dyDescent="0.2"/>
    <row r="149" s="13" customFormat="1" x14ac:dyDescent="0.2"/>
    <row r="150" s="13" customFormat="1" x14ac:dyDescent="0.2"/>
    <row r="151" s="13" customFormat="1" x14ac:dyDescent="0.2"/>
    <row r="152" s="13" customFormat="1" x14ac:dyDescent="0.2"/>
    <row r="153" s="13" customFormat="1" x14ac:dyDescent="0.2"/>
    <row r="154" s="13" customFormat="1" x14ac:dyDescent="0.2"/>
    <row r="155" s="13" customFormat="1" x14ac:dyDescent="0.2"/>
    <row r="156" s="13" customFormat="1" x14ac:dyDescent="0.2"/>
    <row r="157" s="13" customFormat="1" x14ac:dyDescent="0.2"/>
    <row r="158" s="13" customFormat="1" x14ac:dyDescent="0.2"/>
    <row r="159" s="13" customFormat="1" x14ac:dyDescent="0.2"/>
    <row r="160" s="13" customFormat="1" x14ac:dyDescent="0.2"/>
    <row r="161" s="13" customFormat="1" x14ac:dyDescent="0.2"/>
    <row r="162" s="13" customFormat="1" x14ac:dyDescent="0.2"/>
    <row r="163" s="13" customFormat="1" x14ac:dyDescent="0.2"/>
    <row r="164" s="13" customFormat="1" x14ac:dyDescent="0.2"/>
    <row r="165" s="13" customFormat="1" x14ac:dyDescent="0.2"/>
    <row r="166" s="13" customFormat="1" x14ac:dyDescent="0.2"/>
    <row r="167" s="13" customFormat="1" x14ac:dyDescent="0.2"/>
    <row r="168" s="13" customFormat="1" x14ac:dyDescent="0.2"/>
    <row r="169" s="13" customFormat="1" x14ac:dyDescent="0.2"/>
    <row r="170" s="13" customFormat="1" x14ac:dyDescent="0.2"/>
    <row r="171" s="13" customFormat="1" x14ac:dyDescent="0.2"/>
    <row r="172" s="13" customFormat="1" x14ac:dyDescent="0.2"/>
    <row r="173" s="13" customFormat="1" x14ac:dyDescent="0.2"/>
    <row r="174" s="13" customFormat="1" x14ac:dyDescent="0.2"/>
    <row r="175" s="13" customFormat="1" x14ac:dyDescent="0.2"/>
    <row r="176" s="13" customFormat="1" x14ac:dyDescent="0.2"/>
    <row r="177" s="13" customFormat="1" x14ac:dyDescent="0.2"/>
    <row r="178" s="13" customFormat="1" x14ac:dyDescent="0.2"/>
    <row r="179" s="13" customFormat="1" x14ac:dyDescent="0.2"/>
    <row r="180" s="13" customFormat="1" x14ac:dyDescent="0.2"/>
    <row r="181" s="13" customFormat="1" x14ac:dyDescent="0.2"/>
    <row r="182" s="13" customFormat="1" x14ac:dyDescent="0.2"/>
    <row r="183" s="13" customFormat="1" x14ac:dyDescent="0.2"/>
    <row r="184" s="13" customFormat="1" x14ac:dyDescent="0.2"/>
    <row r="185" s="13" customFormat="1" x14ac:dyDescent="0.2"/>
    <row r="186" s="13" customFormat="1" x14ac:dyDescent="0.2"/>
    <row r="187" s="13" customFormat="1" x14ac:dyDescent="0.2"/>
    <row r="188" s="13" customFormat="1" x14ac:dyDescent="0.2"/>
    <row r="189" s="13" customFormat="1" x14ac:dyDescent="0.2"/>
    <row r="190" s="13" customFormat="1" x14ac:dyDescent="0.2"/>
    <row r="191" s="13" customFormat="1" x14ac:dyDescent="0.2"/>
    <row r="192" s="13" customFormat="1" x14ac:dyDescent="0.2"/>
    <row r="193" s="13" customFormat="1" x14ac:dyDescent="0.2"/>
    <row r="194" s="13" customFormat="1" x14ac:dyDescent="0.2"/>
    <row r="195" s="13" customFormat="1" x14ac:dyDescent="0.2"/>
    <row r="196" s="13" customFormat="1" x14ac:dyDescent="0.2"/>
    <row r="197" s="13" customFormat="1" x14ac:dyDescent="0.2"/>
    <row r="198" s="13" customFormat="1" x14ac:dyDescent="0.2"/>
    <row r="199" s="13" customFormat="1" x14ac:dyDescent="0.2"/>
    <row r="200" s="13" customFormat="1" x14ac:dyDescent="0.2"/>
    <row r="201" s="13" customFormat="1" x14ac:dyDescent="0.2"/>
    <row r="202" s="13" customFormat="1" x14ac:dyDescent="0.2"/>
    <row r="203" s="13" customFormat="1" x14ac:dyDescent="0.2"/>
    <row r="204" s="13" customFormat="1" x14ac:dyDescent="0.2"/>
    <row r="205" s="13" customFormat="1" x14ac:dyDescent="0.2"/>
    <row r="206" s="13" customFormat="1" x14ac:dyDescent="0.2"/>
    <row r="207" s="13" customFormat="1" x14ac:dyDescent="0.2"/>
    <row r="208" s="13" customFormat="1" x14ac:dyDescent="0.2"/>
    <row r="209" s="13" customFormat="1" x14ac:dyDescent="0.2"/>
    <row r="210" s="13" customFormat="1" x14ac:dyDescent="0.2"/>
    <row r="211" s="13" customFormat="1" x14ac:dyDescent="0.2"/>
    <row r="212" s="13" customFormat="1" x14ac:dyDescent="0.2"/>
    <row r="213" s="13" customFormat="1" x14ac:dyDescent="0.2"/>
    <row r="214" s="13" customFormat="1" x14ac:dyDescent="0.2"/>
    <row r="215" s="13" customFormat="1" x14ac:dyDescent="0.2"/>
    <row r="216" s="13" customFormat="1" x14ac:dyDescent="0.2"/>
    <row r="217" s="13" customFormat="1" x14ac:dyDescent="0.2"/>
    <row r="218" s="13" customFormat="1" x14ac:dyDescent="0.2"/>
    <row r="219" s="13" customFormat="1" x14ac:dyDescent="0.2"/>
    <row r="220" s="13" customFormat="1" x14ac:dyDescent="0.2"/>
    <row r="221" s="13" customFormat="1" x14ac:dyDescent="0.2"/>
    <row r="222" s="13" customFormat="1" x14ac:dyDescent="0.2"/>
    <row r="223" s="13" customFormat="1" x14ac:dyDescent="0.2"/>
  </sheetData>
  <mergeCells count="65">
    <mergeCell ref="A57:H57"/>
    <mergeCell ref="A55:G55"/>
    <mergeCell ref="AT55:AY55"/>
    <mergeCell ref="AZ55:BA55"/>
    <mergeCell ref="A56:G56"/>
    <mergeCell ref="AT56:AY56"/>
    <mergeCell ref="AZ56:BA56"/>
    <mergeCell ref="A52:G52"/>
    <mergeCell ref="A53:H53"/>
    <mergeCell ref="A54:H54"/>
    <mergeCell ref="AT54:AY54"/>
    <mergeCell ref="AK9:AK11"/>
    <mergeCell ref="AL9:AL11"/>
    <mergeCell ref="AM9:AM11"/>
    <mergeCell ref="AN9:AN11"/>
    <mergeCell ref="AO9:AO11"/>
    <mergeCell ref="AP9:AP11"/>
    <mergeCell ref="AE9:AE11"/>
    <mergeCell ref="AF9:AF11"/>
    <mergeCell ref="AG9:AG11"/>
    <mergeCell ref="AH9:AH11"/>
    <mergeCell ref="AI9:AI11"/>
    <mergeCell ref="AZ54:BA54"/>
    <mergeCell ref="AQ9:AQ11"/>
    <mergeCell ref="AR9:AR11"/>
    <mergeCell ref="AS9:AS11"/>
    <mergeCell ref="AT9:AY9"/>
    <mergeCell ref="AZ9:AZ11"/>
    <mergeCell ref="BA9:BA11"/>
    <mergeCell ref="AT10:AU10"/>
    <mergeCell ref="AV10:AV11"/>
    <mergeCell ref="AW10:AW11"/>
    <mergeCell ref="AX10:AX11"/>
    <mergeCell ref="AY10:AY11"/>
    <mergeCell ref="AJ9:AJ11"/>
    <mergeCell ref="Y9:Y11"/>
    <mergeCell ref="Z9:Z11"/>
    <mergeCell ref="AA9:AA11"/>
    <mergeCell ref="AB9:AB11"/>
    <mergeCell ref="AC9:AC11"/>
    <mergeCell ref="AD9:AD11"/>
    <mergeCell ref="X9:X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L9:L11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K9:K11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MIP2690</vt:lpstr>
      <vt:lpstr>'MIP2690'!Área_de_impresión</vt:lpstr>
      <vt:lpstr>MIPK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Cruz</dc:creator>
  <cp:lastModifiedBy>Miguel Cruz</cp:lastModifiedBy>
  <dcterms:created xsi:type="dcterms:W3CDTF">2020-03-13T18:54:05Z</dcterms:created>
  <dcterms:modified xsi:type="dcterms:W3CDTF">2026-02-23T20:00:08Z</dcterms:modified>
</cp:coreProperties>
</file>