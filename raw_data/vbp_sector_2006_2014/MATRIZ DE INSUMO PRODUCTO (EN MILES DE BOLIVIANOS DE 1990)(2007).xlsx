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ntesis\Cuadros web\Matrices Insumo Producto\"/>
    </mc:Choice>
  </mc:AlternateContent>
  <xr:revisionPtr revIDLastSave="0" documentId="8_{21BEEA8C-1041-4DE0-B1B4-D76D239636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P2790" sheetId="1" r:id="rId1"/>
  </sheets>
  <definedNames>
    <definedName name="_Regression_Int" localSheetId="0" hidden="1">1</definedName>
    <definedName name="_xlnm.Print_Area" localSheetId="0">'MIP2790'!$A$7:$BA$57</definedName>
    <definedName name="MIPK">'MIP2790'!$A$7:$BA$57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56" i="1" l="1"/>
  <c r="AZ55" i="1"/>
  <c r="AZ54" i="1"/>
</calcChain>
</file>

<file path=xl/sharedStrings.xml><?xml version="1.0" encoding="utf-8"?>
<sst xmlns="http://schemas.openxmlformats.org/spreadsheetml/2006/main" count="113" uniqueCount="78">
  <si>
    <t>DERECHOS ARANCELARIOS SOBRE IMPORTACIÓN</t>
  </si>
  <si>
    <t>IMPUESTO A LAS TRANSACCIONES Y OTROS IMPUESTOS A LOS PRODUCTOS Y LAS IMPORTACIONES</t>
  </si>
  <si>
    <t>MÁRGENES DE COMERCIALIZACIÓN Y TRANSPORTE</t>
  </si>
  <si>
    <t xml:space="preserve"> 1. PRODUCTOS AGRÍCOLAS NO INDUSTRIALES</t>
  </si>
  <si>
    <t xml:space="preserve"> 2. PRODUCTOS AGRÍCOLAS INDUSTRIALES</t>
  </si>
  <si>
    <t xml:space="preserve"> 3. COCA</t>
  </si>
  <si>
    <t xml:space="preserve"> 4. PRODUCTOS PECUARIOS</t>
  </si>
  <si>
    <t xml:space="preserve"> 5. SILVICULTURA, CAZA Y PESCA</t>
  </si>
  <si>
    <t xml:space="preserve"> 6. PETRÓLEO CRUDO Y GAS NATURAL</t>
  </si>
  <si>
    <t xml:space="preserve"> 7. MINERALES METÁLICOS Y NO METÁLICOS</t>
  </si>
  <si>
    <t xml:space="preserve"> 8. CARNES FRESCAS Y ELABORADAS</t>
  </si>
  <si>
    <t xml:space="preserve"> 9. PRODUCTOS LÁCTEOS</t>
  </si>
  <si>
    <t>10. PRODUCTOS DE MOLINERÍA Y PANADERÍA</t>
  </si>
  <si>
    <t>11. AZÚCAR Y CONFITERÍA</t>
  </si>
  <si>
    <t>12. PRODUCTOS ALIMENTICIOS DIVERSOS</t>
  </si>
  <si>
    <t>13. BEBIDAS</t>
  </si>
  <si>
    <t>14. TABACO ELABORADO</t>
  </si>
  <si>
    <t>15. TEXTILES, PRENDAS DE VESTIR Y PRODUCTOS DEL CUERO</t>
  </si>
  <si>
    <t>16. MADERA Y PRODUCTOS DE MADERA</t>
  </si>
  <si>
    <t>17. PAPEL Y PRODUCTOS DE PAPEL</t>
  </si>
  <si>
    <t>18. SUBSTANCIAS Y PRODUCTOS QUÍMICOS</t>
  </si>
  <si>
    <t>19. PRODUCTOS DE REFINACIÓN DEL PETRÓLEO</t>
  </si>
  <si>
    <t>20. PRODUCTOS DE MINERALES NO METÁLICOS</t>
  </si>
  <si>
    <t>21. PRODUCTOS BÁSICOS DE METALES</t>
  </si>
  <si>
    <t>22. PRODUCTOS METÁLICOS, MAQUINARIA Y EQUIPO</t>
  </si>
  <si>
    <t>23. PRODUCTOS MANUFACTURADOS DIVERSOS</t>
  </si>
  <si>
    <t>24. ELECTRICIDAD, GAS Y AGUA</t>
  </si>
  <si>
    <t>25. CONSTRUCCIÓN</t>
  </si>
  <si>
    <t>26. COMERCIO</t>
  </si>
  <si>
    <t>27. TRANSPORTE Y ALMACENAMIENTO</t>
  </si>
  <si>
    <t>28. COMUNICACIONES</t>
  </si>
  <si>
    <t>29. SERVICIOS FINANCIEROS</t>
  </si>
  <si>
    <t>30. SERVICIOS A LAS EMPRESAS</t>
  </si>
  <si>
    <t>31. PROPIEDAD DE VIVIENDA</t>
  </si>
  <si>
    <t>32. SERVICIOS COMUNALES, SOCIALES Y PERSONALES</t>
  </si>
  <si>
    <t>33. RESTAURANTES Y HOTELES</t>
  </si>
  <si>
    <t>34. SERVICIOS DOMÉSTICOS</t>
  </si>
  <si>
    <t>35. SERVICIOS DE LA ADMINISTRACIÓN PÚBLICA</t>
  </si>
  <si>
    <t>IMPUTACIÓN BANCARIA</t>
  </si>
  <si>
    <t>D   E   M   A   N   D   A      F   I   N   A   L</t>
  </si>
  <si>
    <t>ACTIVIDAD ECONÓMICA</t>
  </si>
  <si>
    <t>CONSUMO FINAL</t>
  </si>
  <si>
    <t>FORMACIÓN BRUTA DE CAPITAL FIJO</t>
  </si>
  <si>
    <t>VARIACIÓN DE EXISTENCIAS</t>
  </si>
  <si>
    <t>HOGARES</t>
  </si>
  <si>
    <t>ADMINISTRACIÓN PÚBLICA</t>
  </si>
  <si>
    <t>1</t>
  </si>
  <si>
    <t>2</t>
  </si>
  <si>
    <t>3</t>
  </si>
  <si>
    <t>4</t>
  </si>
  <si>
    <t>5</t>
  </si>
  <si>
    <t>6</t>
  </si>
  <si>
    <t>Compras Directas de Otros Bienes y Servicios</t>
  </si>
  <si>
    <r>
      <t xml:space="preserve">CONSUMO INTERMEDIO POR ACTIVIDAD ECONÓMICA </t>
    </r>
    <r>
      <rPr>
        <sz val="6"/>
        <color indexed="8"/>
        <rFont val="Arial Narrow"/>
        <family val="2"/>
      </rPr>
      <t>(a precios de comprador)</t>
    </r>
  </si>
  <si>
    <t>Fuente: INSTITUTO NACIONAL DE ESTADÍSTICA</t>
  </si>
  <si>
    <r>
      <t xml:space="preserve">PRODUCCIÓN BRUTA POR ACTIVIDAD ECONÓMICA </t>
    </r>
    <r>
      <rPr>
        <sz val="6"/>
        <color indexed="8"/>
        <rFont val="Arial Narrow"/>
        <family val="2"/>
      </rPr>
      <t>(a precios básicos)</t>
    </r>
  </si>
  <si>
    <t>(p): Preliminar</t>
  </si>
  <si>
    <r>
      <t>VALOR AGREGADO BRUTO</t>
    </r>
    <r>
      <rPr>
        <sz val="8"/>
        <color indexed="8"/>
        <rFont val="Arial Narrow"/>
        <family val="2"/>
      </rPr>
      <t xml:space="preserve"> </t>
    </r>
    <r>
      <rPr>
        <sz val="6"/>
        <color indexed="8"/>
        <rFont val="Arial Narrow"/>
        <family val="2"/>
      </rPr>
      <t>(a precios básicos)</t>
    </r>
  </si>
  <si>
    <r>
      <t>PIB</t>
    </r>
    <r>
      <rPr>
        <sz val="6"/>
        <color indexed="8"/>
        <rFont val="Arial Narrow"/>
        <family val="2"/>
      </rPr>
      <t xml:space="preserve"> = Producto Interno Bruto, </t>
    </r>
    <r>
      <rPr>
        <b/>
        <sz val="6"/>
        <color indexed="8"/>
        <rFont val="Arial Narrow"/>
        <family val="2"/>
      </rPr>
      <t>VAB</t>
    </r>
    <r>
      <rPr>
        <sz val="6"/>
        <color indexed="8"/>
        <rFont val="Arial Narrow"/>
        <family val="2"/>
      </rPr>
      <t xml:space="preserve"> = Valor Agregado Bruto, </t>
    </r>
    <r>
      <rPr>
        <b/>
        <sz val="6"/>
        <color indexed="8"/>
        <rFont val="Arial Narrow"/>
        <family val="2"/>
      </rPr>
      <t>VBP</t>
    </r>
    <r>
      <rPr>
        <sz val="6"/>
        <color indexed="8"/>
        <rFont val="Arial Narrow"/>
        <family val="2"/>
      </rPr>
      <t xml:space="preserve"> = Valor Bruto de Producción</t>
    </r>
  </si>
  <si>
    <r>
      <t xml:space="preserve">CF = </t>
    </r>
    <r>
      <rPr>
        <sz val="6"/>
        <color indexed="8"/>
        <rFont val="Arial Narrow"/>
        <family val="2"/>
      </rPr>
      <t>Consumo final (Gobierno y hogares),</t>
    </r>
    <r>
      <rPr>
        <b/>
        <sz val="6"/>
        <color indexed="8"/>
        <rFont val="Arial Narrow"/>
        <family val="2"/>
      </rPr>
      <t xml:space="preserve"> FBCF</t>
    </r>
    <r>
      <rPr>
        <sz val="6"/>
        <color indexed="8"/>
        <rFont val="Arial Narrow"/>
        <family val="2"/>
      </rPr>
      <t xml:space="preserve"> = Formación Bruta de Capital Fijo, </t>
    </r>
    <r>
      <rPr>
        <b/>
        <sz val="6"/>
        <color indexed="8"/>
        <rFont val="Arial Narrow"/>
        <family val="2"/>
      </rPr>
      <t>VE</t>
    </r>
    <r>
      <rPr>
        <sz val="6"/>
        <color indexed="8"/>
        <rFont val="Arial Narrow"/>
        <family val="2"/>
      </rPr>
      <t xml:space="preserve"> = Variación de Existencias, </t>
    </r>
    <r>
      <rPr>
        <b/>
        <sz val="6"/>
        <color indexed="8"/>
        <rFont val="Arial Narrow"/>
        <family val="2"/>
      </rPr>
      <t>M =</t>
    </r>
    <r>
      <rPr>
        <sz val="6"/>
        <color indexed="8"/>
        <rFont val="Arial Narrow"/>
        <family val="2"/>
      </rPr>
      <t xml:space="preserve"> Importaciones, </t>
    </r>
    <r>
      <rPr>
        <b/>
        <sz val="6"/>
        <color indexed="8"/>
        <rFont val="Arial Narrow"/>
        <family val="2"/>
      </rPr>
      <t>X</t>
    </r>
    <r>
      <rPr>
        <sz val="6"/>
        <color indexed="8"/>
        <rFont val="Arial Narrow"/>
        <family val="2"/>
      </rPr>
      <t xml:space="preserve"> = Exportaciones, </t>
    </r>
    <r>
      <rPr>
        <b/>
        <sz val="6"/>
        <color indexed="8"/>
        <rFont val="Arial Narrow"/>
        <family val="2"/>
      </rPr>
      <t>TCIAE</t>
    </r>
    <r>
      <rPr>
        <sz val="6"/>
        <color indexed="8"/>
        <rFont val="Arial Narrow"/>
        <family val="2"/>
      </rPr>
      <t xml:space="preserve"> = Total Consumo Intermedio por Actividad Económica</t>
    </r>
  </si>
  <si>
    <r>
      <t xml:space="preserve">IVA </t>
    </r>
    <r>
      <rPr>
        <sz val="6"/>
        <color indexed="8"/>
        <rFont val="Arial Narrow"/>
        <family val="2"/>
      </rPr>
      <t xml:space="preserve">= Impuesto al Valor Agregado,  </t>
    </r>
    <r>
      <rPr>
        <b/>
        <sz val="6"/>
        <color indexed="8"/>
        <rFont val="Arial Narrow"/>
        <family val="2"/>
      </rPr>
      <t>IT</t>
    </r>
    <r>
      <rPr>
        <sz val="6"/>
        <color indexed="8"/>
        <rFont val="Arial Narrow"/>
        <family val="2"/>
      </rPr>
      <t xml:space="preserve"> = Impuesto a las Transacciones, </t>
    </r>
    <r>
      <rPr>
        <b/>
        <sz val="6"/>
        <color indexed="8"/>
        <rFont val="Arial Narrow"/>
        <family val="2"/>
      </rPr>
      <t>DER s/M</t>
    </r>
    <r>
      <rPr>
        <sz val="6"/>
        <color indexed="8"/>
        <rFont val="Arial Narrow"/>
        <family val="2"/>
      </rPr>
      <t xml:space="preserve"> = Derechos sobre importaciones, </t>
    </r>
    <r>
      <rPr>
        <b/>
        <sz val="6"/>
        <color indexed="8"/>
        <rFont val="Arial Narrow"/>
        <family val="2"/>
      </rPr>
      <t>OIPM</t>
    </r>
    <r>
      <rPr>
        <sz val="6"/>
        <color indexed="8"/>
        <rFont val="Arial Narrow"/>
        <family val="2"/>
      </rPr>
      <t xml:space="preserve"> = Otros Impuestos a los Productos y las Importaciones</t>
    </r>
  </si>
  <si>
    <t>P I B (pc)  =  C F (pc)  +  F B C F (pc)  +  V E (pc)  +  X (pc)  -  M (pc)</t>
  </si>
  <si>
    <r>
      <t xml:space="preserve">(pc) = </t>
    </r>
    <r>
      <rPr>
        <sz val="6"/>
        <color indexed="8"/>
        <rFont val="Arial Narrow"/>
        <family val="2"/>
      </rPr>
      <t xml:space="preserve">Precios de comprador, </t>
    </r>
    <r>
      <rPr>
        <b/>
        <sz val="6"/>
        <color indexed="8"/>
        <rFont val="Arial Narrow"/>
        <family val="2"/>
      </rPr>
      <t>(pb)</t>
    </r>
    <r>
      <rPr>
        <sz val="6"/>
        <color indexed="8"/>
        <rFont val="Arial Narrow"/>
        <family val="2"/>
      </rPr>
      <t xml:space="preserve"> = Precios básicos, </t>
    </r>
    <r>
      <rPr>
        <b/>
        <sz val="6"/>
        <color indexed="8"/>
        <rFont val="Arial Narrow"/>
        <family val="2"/>
      </rPr>
      <t>(nd)</t>
    </r>
    <r>
      <rPr>
        <sz val="6"/>
        <color indexed="8"/>
        <rFont val="Arial Narrow"/>
        <family val="2"/>
      </rPr>
      <t xml:space="preserve"> = No deducible</t>
    </r>
  </si>
  <si>
    <t>P I B (pc)  =  V A B (pb)  +  D E R  s / M  +  I V A (nd)  +  I T  y  O I P M</t>
  </si>
  <si>
    <r>
      <t xml:space="preserve">Valor CIF = </t>
    </r>
    <r>
      <rPr>
        <sz val="6"/>
        <color indexed="8"/>
        <rFont val="Arial Narrow"/>
        <family val="2"/>
      </rPr>
      <t>El valor de mercado en las fronteras aduaneras de un país de las importaciones de mercaderías, otros bienes, etc.</t>
    </r>
  </si>
  <si>
    <t>P I B (pc)  =  V B P (pb)  +  D E R  s / M  +  I V A (nd)  +  I T  y  O I P M  -  T C I A E (pc)</t>
  </si>
  <si>
    <r>
      <t xml:space="preserve">Valor FOB = </t>
    </r>
    <r>
      <rPr>
        <sz val="6"/>
        <color indexed="8"/>
        <rFont val="Arial Narrow"/>
        <family val="2"/>
      </rPr>
      <t>El valor de mercado en las fronteras aduaneras de un país de las exportaciones de mercaderías y otros bienes, incluidos todos los costos de transporte, derechos, cargio y seguro</t>
    </r>
  </si>
  <si>
    <t>(En miles de bolivianos de 1990)</t>
  </si>
  <si>
    <t>Cuadro N° 01.20</t>
  </si>
  <si>
    <t>BOLIVIA : MATRIZ DE INSUMO - PRODUCTO A PRECIOS CONSTANTES, 2007</t>
  </si>
  <si>
    <r>
      <t xml:space="preserve">VALOR BRUTO DE PRODUCCIÓN </t>
    </r>
    <r>
      <rPr>
        <sz val="6"/>
        <color theme="0"/>
        <rFont val="Arial Narrow"/>
        <family val="2"/>
      </rPr>
      <t>(Valor Básico)</t>
    </r>
  </si>
  <si>
    <r>
      <t xml:space="preserve">IMPORTACIÓN </t>
    </r>
    <r>
      <rPr>
        <sz val="6"/>
        <color theme="0"/>
        <rFont val="Arial Narrow"/>
        <family val="2"/>
      </rPr>
      <t>(CIF)</t>
    </r>
  </si>
  <si>
    <r>
      <t xml:space="preserve">IMPUESTO AL VALOR AGREGADO </t>
    </r>
    <r>
      <rPr>
        <sz val="6"/>
        <color theme="0"/>
        <rFont val="Arial Narrow"/>
        <family val="2"/>
      </rPr>
      <t>(No deducible)</t>
    </r>
  </si>
  <si>
    <r>
      <t xml:space="preserve">OFERTA TOTAL </t>
    </r>
    <r>
      <rPr>
        <sz val="6"/>
        <color theme="0"/>
        <rFont val="Arial Narrow"/>
        <family val="2"/>
      </rPr>
      <t>(a precios de comprador)</t>
    </r>
  </si>
  <si>
    <r>
      <t>CONSUMO INTERMEDIO POR PRODUCTOS</t>
    </r>
    <r>
      <rPr>
        <b/>
        <sz val="6"/>
        <color theme="0"/>
        <rFont val="Arial Narrow"/>
        <family val="2"/>
      </rPr>
      <t xml:space="preserve"> </t>
    </r>
    <r>
      <rPr>
        <sz val="6"/>
        <color theme="0"/>
        <rFont val="Arial Narrow"/>
        <family val="2"/>
      </rPr>
      <t>(precios de comprador)</t>
    </r>
  </si>
  <si>
    <r>
      <t xml:space="preserve">DEMANDA TOTAL </t>
    </r>
    <r>
      <rPr>
        <sz val="6"/>
        <color theme="0"/>
        <rFont val="Arial Narrow"/>
        <family val="2"/>
      </rPr>
      <t>(precios de comprador)</t>
    </r>
  </si>
  <si>
    <r>
      <t xml:space="preserve">EXPORTACIÓN </t>
    </r>
    <r>
      <rPr>
        <sz val="6"/>
        <color theme="0"/>
        <rFont val="Arial Narrow"/>
        <family val="2"/>
      </rPr>
      <t>(FOB)</t>
    </r>
  </si>
  <si>
    <r>
      <t xml:space="preserve">TOTAL </t>
    </r>
    <r>
      <rPr>
        <sz val="6"/>
        <color theme="0"/>
        <rFont val="Arial Narrow"/>
        <family val="2"/>
      </rPr>
      <t>(precios de comprador)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</si>
</sst>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name val="Courier"/>
      <family val="3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sz val="8"/>
      <name val="Arial Narrow"/>
      <family val="2"/>
    </font>
    <font>
      <b/>
      <sz val="6"/>
      <color indexed="8"/>
      <name val="Arial Narrow"/>
      <family val="2"/>
    </font>
    <font>
      <sz val="6"/>
      <color indexed="8"/>
      <name val="Arial Narrow"/>
      <family val="2"/>
    </font>
    <font>
      <b/>
      <sz val="8"/>
      <color indexed="8"/>
      <name val="Arial"/>
      <family val="2"/>
    </font>
    <font>
      <sz val="6"/>
      <name val="Arial Narrow"/>
      <family val="2"/>
    </font>
    <font>
      <b/>
      <sz val="7"/>
      <color indexed="8"/>
      <name val="Arial Narrow"/>
      <family val="2"/>
    </font>
    <font>
      <sz val="7"/>
      <name val="Arial Narrow"/>
      <family val="2"/>
    </font>
    <font>
      <sz val="12"/>
      <color indexed="8"/>
      <name val="Courier"/>
      <family val="3"/>
    </font>
    <font>
      <b/>
      <sz val="10"/>
      <color indexed="16"/>
      <name val="Arial"/>
      <family val="2"/>
    </font>
    <font>
      <b/>
      <sz val="6"/>
      <color theme="0"/>
      <name val="Arial Narrow"/>
      <family val="2"/>
    </font>
    <font>
      <sz val="6"/>
      <color theme="0"/>
      <name val="Arial Narrow"/>
      <family val="2"/>
    </font>
    <font>
      <b/>
      <sz val="8"/>
      <color theme="0"/>
      <name val="Arial Narrow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</borders>
  <cellStyleXfs count="8">
    <xf numFmtId="0" fontId="0" fillId="0" borderId="0"/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</cellStyleXfs>
  <cellXfs count="57">
    <xf numFmtId="0" fontId="0" fillId="0" borderId="0" xfId="0"/>
    <xf numFmtId="0" fontId="2" fillId="0" borderId="0" xfId="0" applyFont="1" applyFill="1"/>
    <xf numFmtId="0" fontId="3" fillId="0" borderId="0" xfId="0" applyFont="1"/>
    <xf numFmtId="0" fontId="5" fillId="0" borderId="0" xfId="0" applyFont="1" applyFill="1"/>
    <xf numFmtId="0" fontId="7" fillId="0" borderId="0" xfId="0" applyFont="1"/>
    <xf numFmtId="0" fontId="5" fillId="0" borderId="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Fill="1" applyBorder="1"/>
    <xf numFmtId="37" fontId="2" fillId="0" borderId="5" xfId="0" applyNumberFormat="1" applyFont="1" applyFill="1" applyBorder="1" applyAlignment="1" applyProtection="1">
      <alignment vertical="center" wrapText="1"/>
    </xf>
    <xf numFmtId="0" fontId="8" fillId="0" borderId="4" xfId="0" applyFont="1" applyFill="1" applyBorder="1" applyAlignment="1" applyProtection="1">
      <alignment vertical="center"/>
    </xf>
    <xf numFmtId="37" fontId="2" fillId="0" borderId="4" xfId="0" applyNumberFormat="1" applyFont="1" applyFill="1" applyBorder="1" applyAlignment="1">
      <alignment vertical="center" wrapText="1"/>
    </xf>
    <xf numFmtId="37" fontId="1" fillId="0" borderId="5" xfId="0" applyNumberFormat="1" applyFont="1" applyFill="1" applyBorder="1" applyAlignment="1" applyProtection="1">
      <alignment horizontal="right" vertical="center" wrapText="1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8" fillId="0" borderId="5" xfId="0" applyFont="1" applyFill="1" applyBorder="1" applyAlignment="1" applyProtection="1">
      <alignment vertical="center"/>
    </xf>
    <xf numFmtId="37" fontId="1" fillId="0" borderId="5" xfId="0" applyNumberFormat="1" applyFont="1" applyFill="1" applyBorder="1" applyAlignment="1" applyProtection="1">
      <alignment vertical="center" wrapText="1"/>
    </xf>
    <xf numFmtId="37" fontId="4" fillId="0" borderId="5" xfId="0" applyNumberFormat="1" applyFont="1" applyFill="1" applyBorder="1" applyAlignment="1" applyProtection="1">
      <alignment vertical="center"/>
    </xf>
    <xf numFmtId="0" fontId="1" fillId="0" borderId="5" xfId="0" applyFont="1" applyFill="1" applyBorder="1" applyAlignment="1">
      <alignment vertical="center" wrapText="1"/>
    </xf>
    <xf numFmtId="0" fontId="2" fillId="0" borderId="0" xfId="0" applyFont="1" applyFill="1" applyBorder="1" applyAlignment="1" applyProtection="1">
      <alignment vertical="center"/>
    </xf>
    <xf numFmtId="0" fontId="9" fillId="0" borderId="0" xfId="0" applyFont="1" applyAlignment="1">
      <alignment vertical="center" wrapText="1"/>
    </xf>
    <xf numFmtId="0" fontId="2" fillId="0" borderId="0" xfId="0" applyFont="1" applyFill="1" applyAlignment="1">
      <alignment vertical="center"/>
    </xf>
    <xf numFmtId="37" fontId="1" fillId="0" borderId="5" xfId="0" applyNumberFormat="1" applyFont="1" applyFill="1" applyBorder="1" applyAlignment="1" applyProtection="1">
      <alignment vertical="center"/>
    </xf>
    <xf numFmtId="37" fontId="2" fillId="0" borderId="0" xfId="0" applyNumberFormat="1" applyFont="1" applyFill="1" applyAlignment="1">
      <alignment vertical="center"/>
    </xf>
    <xf numFmtId="0" fontId="5" fillId="0" borderId="1" xfId="0" applyFont="1" applyFill="1" applyBorder="1" applyAlignment="1">
      <alignment vertical="center"/>
    </xf>
    <xf numFmtId="10" fontId="2" fillId="0" borderId="5" xfId="0" applyNumberFormat="1" applyFont="1" applyFill="1" applyBorder="1" applyAlignment="1" applyProtection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/>
    </xf>
    <xf numFmtId="4" fontId="2" fillId="0" borderId="0" xfId="0" applyNumberFormat="1" applyFont="1" applyFill="1" applyBorder="1" applyAlignment="1" applyProtection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Fill="1" applyBorder="1" applyAlignment="1" applyProtection="1">
      <alignment vertical="center" wrapText="1"/>
    </xf>
    <xf numFmtId="0" fontId="5" fillId="0" borderId="0" xfId="0" applyFont="1" applyFill="1" applyBorder="1" applyAlignment="1">
      <alignment vertical="center" wrapText="1"/>
    </xf>
    <xf numFmtId="37" fontId="1" fillId="0" borderId="0" xfId="0" applyNumberFormat="1" applyFont="1" applyFill="1" applyBorder="1" applyAlignment="1" applyProtection="1">
      <alignment vertical="center" wrapText="1"/>
    </xf>
    <xf numFmtId="0" fontId="2" fillId="0" borderId="0" xfId="0" applyFont="1" applyFill="1" applyBorder="1" applyAlignment="1">
      <alignment vertical="center" wrapText="1"/>
    </xf>
    <xf numFmtId="10" fontId="2" fillId="0" borderId="0" xfId="0" applyNumberFormat="1" applyFont="1" applyFill="1" applyBorder="1" applyAlignment="1" applyProtection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 applyFill="1" applyBorder="1" applyAlignment="1" applyProtection="1">
      <alignment vertical="center"/>
    </xf>
    <xf numFmtId="37" fontId="6" fillId="0" borderId="7" xfId="0" applyNumberFormat="1" applyFont="1" applyFill="1" applyBorder="1" applyAlignment="1" applyProtection="1">
      <alignment horizontal="center" vertical="center" wrapText="1"/>
    </xf>
    <xf numFmtId="37" fontId="6" fillId="0" borderId="8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37" fontId="6" fillId="0" borderId="6" xfId="0" applyNumberFormat="1" applyFont="1" applyFill="1" applyBorder="1" applyAlignment="1" applyProtection="1">
      <alignment horizontal="left" vertical="center" wrapText="1"/>
    </xf>
    <xf numFmtId="37" fontId="6" fillId="0" borderId="7" xfId="0" applyNumberFormat="1" applyFont="1" applyFill="1" applyBorder="1" applyAlignment="1" applyProtection="1">
      <alignment horizontal="left" vertical="center" wrapText="1"/>
    </xf>
    <xf numFmtId="37" fontId="6" fillId="0" borderId="9" xfId="0" applyNumberFormat="1" applyFont="1" applyFill="1" applyBorder="1" applyAlignment="1" applyProtection="1">
      <alignment horizontal="left" vertical="center" wrapText="1"/>
    </xf>
    <xf numFmtId="37" fontId="6" fillId="0" borderId="0" xfId="0" applyNumberFormat="1" applyFont="1" applyFill="1" applyBorder="1" applyAlignment="1" applyProtection="1">
      <alignment horizontal="left" vertical="center" wrapText="1"/>
    </xf>
    <xf numFmtId="37" fontId="6" fillId="0" borderId="0" xfId="0" applyNumberFormat="1" applyFont="1" applyFill="1" applyBorder="1" applyAlignment="1" applyProtection="1">
      <alignment horizontal="center" vertical="center" wrapText="1"/>
    </xf>
    <xf numFmtId="37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left" vertical="center" wrapText="1"/>
    </xf>
    <xf numFmtId="0" fontId="6" fillId="0" borderId="11" xfId="0" applyFont="1" applyFill="1" applyBorder="1" applyAlignment="1" applyProtection="1">
      <alignment horizontal="left" vertical="center" wrapText="1"/>
    </xf>
    <xf numFmtId="37" fontId="6" fillId="0" borderId="11" xfId="0" applyNumberFormat="1" applyFont="1" applyFill="1" applyBorder="1" applyAlignment="1" applyProtection="1">
      <alignment horizontal="center" vertical="center" wrapText="1"/>
    </xf>
    <xf numFmtId="37" fontId="6" fillId="0" borderId="3" xfId="0" applyNumberFormat="1" applyFont="1" applyFill="1" applyBorder="1" applyAlignment="1" applyProtection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textRotation="180" wrapText="1"/>
    </xf>
    <xf numFmtId="0" fontId="12" fillId="2" borderId="12" xfId="0" applyFont="1" applyFill="1" applyBorder="1" applyAlignment="1">
      <alignment horizontal="center" vertical="center" wrapText="1"/>
    </xf>
  </cellXfs>
  <cellStyles count="8">
    <cellStyle name="F2" xfId="1" xr:uid="{00000000-0005-0000-0000-000000000000}"/>
    <cellStyle name="F3" xfId="2" xr:uid="{00000000-0005-0000-0000-000001000000}"/>
    <cellStyle name="F4" xfId="3" xr:uid="{00000000-0005-0000-0000-000002000000}"/>
    <cellStyle name="F5" xfId="4" xr:uid="{00000000-0005-0000-0000-000003000000}"/>
    <cellStyle name="F6" xfId="5" xr:uid="{00000000-0005-0000-0000-000004000000}"/>
    <cellStyle name="F7" xfId="6" xr:uid="{00000000-0005-0000-0000-000005000000}"/>
    <cellStyle name="F8" xfId="7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2" name="WordArt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942975"/>
          <a:ext cx="981075" cy="1047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3" name="WordArt 3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352425"/>
          <a:ext cx="1362075" cy="1428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178693</xdr:colOff>
      <xdr:row>5</xdr:row>
      <xdr:rowOff>38100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15E2431-BD13-4056-93FE-6FDD6838B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203387</xdr:colOff>
      <xdr:row>0</xdr:row>
      <xdr:rowOff>0</xdr:rowOff>
    </xdr:from>
    <xdr:to>
      <xdr:col>2</xdr:col>
      <xdr:colOff>104375</xdr:colOff>
      <xdr:row>5</xdr:row>
      <xdr:rowOff>46104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87E638A-CDE1-41F3-B2D5-F1BC698FC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55729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6" name="WordArt 33">
          <a:extLst>
            <a:ext uri="{FF2B5EF4-FFF2-40B4-BE49-F238E27FC236}">
              <a16:creationId xmlns:a16="http://schemas.microsoft.com/office/drawing/2014/main" id="{C5F79B07-944F-4206-A67B-12425A3ADE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7" name="WordArt 34">
          <a:extLst>
            <a:ext uri="{FF2B5EF4-FFF2-40B4-BE49-F238E27FC236}">
              <a16:creationId xmlns:a16="http://schemas.microsoft.com/office/drawing/2014/main" id="{20AC7D20-2182-461A-AEBE-77D64E3D02E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8" name="WordArt 33">
          <a:extLst>
            <a:ext uri="{FF2B5EF4-FFF2-40B4-BE49-F238E27FC236}">
              <a16:creationId xmlns:a16="http://schemas.microsoft.com/office/drawing/2014/main" id="{988742FC-F026-4F7B-98BF-37D74D0C6C8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9" name="WordArt 34">
          <a:extLst>
            <a:ext uri="{FF2B5EF4-FFF2-40B4-BE49-F238E27FC236}">
              <a16:creationId xmlns:a16="http://schemas.microsoft.com/office/drawing/2014/main" id="{9C1A362F-D84B-41C3-805A-FE5A87EF86B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0" name="WordArt 11">
          <a:extLst>
            <a:ext uri="{FF2B5EF4-FFF2-40B4-BE49-F238E27FC236}">
              <a16:creationId xmlns:a16="http://schemas.microsoft.com/office/drawing/2014/main" id="{9CD9B47F-F099-460F-AF77-893670A3A1B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1" name="WordArt 12">
          <a:extLst>
            <a:ext uri="{FF2B5EF4-FFF2-40B4-BE49-F238E27FC236}">
              <a16:creationId xmlns:a16="http://schemas.microsoft.com/office/drawing/2014/main" id="{81ED3FDC-3C06-4E4D-BBCF-04DDF537C6B4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2" name="WordArt 33">
          <a:extLst>
            <a:ext uri="{FF2B5EF4-FFF2-40B4-BE49-F238E27FC236}">
              <a16:creationId xmlns:a16="http://schemas.microsoft.com/office/drawing/2014/main" id="{8F69AE4B-51B8-40B6-B089-58025518F94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3" name="WordArt 34">
          <a:extLst>
            <a:ext uri="{FF2B5EF4-FFF2-40B4-BE49-F238E27FC236}">
              <a16:creationId xmlns:a16="http://schemas.microsoft.com/office/drawing/2014/main" id="{60FB46D1-1971-47D1-A8A2-4C53FD643FFA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4" name="WordArt 11">
          <a:extLst>
            <a:ext uri="{FF2B5EF4-FFF2-40B4-BE49-F238E27FC236}">
              <a16:creationId xmlns:a16="http://schemas.microsoft.com/office/drawing/2014/main" id="{88DA6391-449A-42C9-A005-881450746B96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5" name="WordArt 12">
          <a:extLst>
            <a:ext uri="{FF2B5EF4-FFF2-40B4-BE49-F238E27FC236}">
              <a16:creationId xmlns:a16="http://schemas.microsoft.com/office/drawing/2014/main" id="{D9A4D90B-7B78-4348-9954-BA5AB5ECB24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/>
  <dimension ref="A6:BB223"/>
  <sheetViews>
    <sheetView showGridLines="0" tabSelected="1" workbookViewId="0">
      <selection activeCell="A9" sqref="A9:BA11"/>
    </sheetView>
  </sheetViews>
  <sheetFormatPr baseColWidth="10" defaultColWidth="13.77734375" defaultRowHeight="12.75" x14ac:dyDescent="0.25"/>
  <cols>
    <col min="1" max="7" width="7.5546875" style="2" customWidth="1"/>
    <col min="8" max="8" width="27.88671875" style="2" customWidth="1"/>
    <col min="9" max="30" width="7.5546875" style="2" customWidth="1"/>
    <col min="31" max="31" width="7.21875" style="2" customWidth="1"/>
    <col min="32" max="46" width="7.5546875" style="2" customWidth="1"/>
    <col min="47" max="47" width="7.44140625" style="2" customWidth="1"/>
    <col min="48" max="52" width="7.5546875" style="2" customWidth="1"/>
    <col min="53" max="53" width="3" style="2" customWidth="1"/>
    <col min="54" max="54" width="1.77734375" style="2" customWidth="1"/>
    <col min="55" max="16384" width="13.77734375" style="2"/>
  </cols>
  <sheetData>
    <row r="6" spans="1:54" x14ac:dyDescent="0.25">
      <c r="A6" s="35" t="s">
        <v>68</v>
      </c>
    </row>
    <row r="7" spans="1:54" x14ac:dyDescent="0.25">
      <c r="A7" s="35" t="s">
        <v>69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35" t="s">
        <v>67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s="4" customFormat="1" ht="11.25" customHeight="1" x14ac:dyDescent="0.15">
      <c r="A9" s="50" t="s">
        <v>70</v>
      </c>
      <c r="B9" s="50" t="s">
        <v>71</v>
      </c>
      <c r="C9" s="50" t="s">
        <v>0</v>
      </c>
      <c r="D9" s="50" t="s">
        <v>72</v>
      </c>
      <c r="E9" s="50" t="s">
        <v>1</v>
      </c>
      <c r="F9" s="51" t="s">
        <v>2</v>
      </c>
      <c r="G9" s="52" t="s">
        <v>73</v>
      </c>
      <c r="H9" s="53"/>
      <c r="I9" s="50" t="s">
        <v>3</v>
      </c>
      <c r="J9" s="50" t="s">
        <v>4</v>
      </c>
      <c r="K9" s="50" t="s">
        <v>5</v>
      </c>
      <c r="L9" s="50" t="s">
        <v>6</v>
      </c>
      <c r="M9" s="50" t="s">
        <v>7</v>
      </c>
      <c r="N9" s="50" t="s">
        <v>8</v>
      </c>
      <c r="O9" s="50" t="s">
        <v>9</v>
      </c>
      <c r="P9" s="50" t="s">
        <v>10</v>
      </c>
      <c r="Q9" s="50" t="s">
        <v>11</v>
      </c>
      <c r="R9" s="50" t="s">
        <v>12</v>
      </c>
      <c r="S9" s="50" t="s">
        <v>13</v>
      </c>
      <c r="T9" s="50" t="s">
        <v>14</v>
      </c>
      <c r="U9" s="50" t="s">
        <v>15</v>
      </c>
      <c r="V9" s="50" t="s">
        <v>16</v>
      </c>
      <c r="W9" s="50" t="s">
        <v>17</v>
      </c>
      <c r="X9" s="50" t="s">
        <v>18</v>
      </c>
      <c r="Y9" s="50" t="s">
        <v>19</v>
      </c>
      <c r="Z9" s="50" t="s">
        <v>20</v>
      </c>
      <c r="AA9" s="50" t="s">
        <v>21</v>
      </c>
      <c r="AB9" s="50" t="s">
        <v>22</v>
      </c>
      <c r="AC9" s="50" t="s">
        <v>23</v>
      </c>
      <c r="AD9" s="50" t="s">
        <v>24</v>
      </c>
      <c r="AE9" s="50" t="s">
        <v>25</v>
      </c>
      <c r="AF9" s="50" t="s">
        <v>26</v>
      </c>
      <c r="AG9" s="50" t="s">
        <v>27</v>
      </c>
      <c r="AH9" s="50" t="s">
        <v>28</v>
      </c>
      <c r="AI9" s="50" t="s">
        <v>29</v>
      </c>
      <c r="AJ9" s="50" t="s">
        <v>30</v>
      </c>
      <c r="AK9" s="50" t="s">
        <v>31</v>
      </c>
      <c r="AL9" s="50" t="s">
        <v>32</v>
      </c>
      <c r="AM9" s="50" t="s">
        <v>33</v>
      </c>
      <c r="AN9" s="50" t="s">
        <v>34</v>
      </c>
      <c r="AO9" s="50" t="s">
        <v>35</v>
      </c>
      <c r="AP9" s="50" t="s">
        <v>36</v>
      </c>
      <c r="AQ9" s="50" t="s">
        <v>37</v>
      </c>
      <c r="AR9" s="51" t="s">
        <v>38</v>
      </c>
      <c r="AS9" s="52" t="s">
        <v>74</v>
      </c>
      <c r="AT9" s="54" t="s">
        <v>39</v>
      </c>
      <c r="AU9" s="54"/>
      <c r="AV9" s="54"/>
      <c r="AW9" s="54"/>
      <c r="AX9" s="54"/>
      <c r="AY9" s="54"/>
      <c r="AZ9" s="52" t="s">
        <v>75</v>
      </c>
      <c r="BA9" s="55" t="s">
        <v>40</v>
      </c>
      <c r="BB9" s="3"/>
    </row>
    <row r="10" spans="1:54" s="6" customFormat="1" ht="8.25" customHeight="1" x14ac:dyDescent="0.2">
      <c r="A10" s="50"/>
      <c r="B10" s="50"/>
      <c r="C10" s="50"/>
      <c r="D10" s="50"/>
      <c r="E10" s="50"/>
      <c r="F10" s="51"/>
      <c r="G10" s="52"/>
      <c r="H10" s="53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1"/>
      <c r="AS10" s="52"/>
      <c r="AT10" s="50" t="s">
        <v>41</v>
      </c>
      <c r="AU10" s="50"/>
      <c r="AV10" s="50" t="s">
        <v>42</v>
      </c>
      <c r="AW10" s="50" t="s">
        <v>43</v>
      </c>
      <c r="AX10" s="50" t="s">
        <v>76</v>
      </c>
      <c r="AY10" s="52" t="s">
        <v>77</v>
      </c>
      <c r="AZ10" s="52"/>
      <c r="BA10" s="55"/>
      <c r="BB10" s="5"/>
    </row>
    <row r="11" spans="1:54" s="4" customFormat="1" ht="42.75" customHeight="1" x14ac:dyDescent="0.15">
      <c r="A11" s="50"/>
      <c r="B11" s="50"/>
      <c r="C11" s="50"/>
      <c r="D11" s="50"/>
      <c r="E11" s="50"/>
      <c r="F11" s="51"/>
      <c r="G11" s="52"/>
      <c r="H11" s="53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1"/>
      <c r="AS11" s="52"/>
      <c r="AT11" s="56" t="s">
        <v>44</v>
      </c>
      <c r="AU11" s="56" t="s">
        <v>45</v>
      </c>
      <c r="AV11" s="50"/>
      <c r="AW11" s="50"/>
      <c r="AX11" s="50"/>
      <c r="AY11" s="52"/>
      <c r="AZ11" s="52"/>
      <c r="BA11" s="55"/>
      <c r="BB11" s="7"/>
    </row>
    <row r="12" spans="1:54" s="13" customFormat="1" x14ac:dyDescent="0.2">
      <c r="A12" s="8">
        <v>2158560.0451055737</v>
      </c>
      <c r="B12" s="8">
        <v>201528.85872794679</v>
      </c>
      <c r="C12" s="8">
        <v>1870.3078047799629</v>
      </c>
      <c r="D12" s="8">
        <v>1121.4748833532831</v>
      </c>
      <c r="E12" s="8">
        <v>2901.0754405587659</v>
      </c>
      <c r="F12" s="8">
        <v>443513.77619566291</v>
      </c>
      <c r="G12" s="8">
        <v>2809495.5381578756</v>
      </c>
      <c r="H12" s="9" t="s">
        <v>3</v>
      </c>
      <c r="I12" s="8">
        <v>287158.51295761071</v>
      </c>
      <c r="J12" s="8">
        <v>0</v>
      </c>
      <c r="K12" s="8">
        <v>0</v>
      </c>
      <c r="L12" s="8">
        <v>222906.00422684118</v>
      </c>
      <c r="M12" s="8">
        <v>0</v>
      </c>
      <c r="N12" s="8">
        <v>0</v>
      </c>
      <c r="O12" s="8">
        <v>0</v>
      </c>
      <c r="P12" s="8">
        <v>1525.4851569863515</v>
      </c>
      <c r="Q12" s="8">
        <v>0</v>
      </c>
      <c r="R12" s="8">
        <v>541144.26904125151</v>
      </c>
      <c r="S12" s="8">
        <v>10940.465895734207</v>
      </c>
      <c r="T12" s="8">
        <v>134185.38878773837</v>
      </c>
      <c r="U12" s="8">
        <v>64260.932370082708</v>
      </c>
      <c r="V12" s="8">
        <v>0</v>
      </c>
      <c r="W12" s="8">
        <v>108.90422695570214</v>
      </c>
      <c r="X12" s="8">
        <v>0</v>
      </c>
      <c r="Y12" s="8">
        <v>0</v>
      </c>
      <c r="Z12" s="8">
        <v>386.75347832481333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30296.327900871886</v>
      </c>
      <c r="AO12" s="8">
        <v>60686.643710811484</v>
      </c>
      <c r="AP12" s="8">
        <v>0</v>
      </c>
      <c r="AQ12" s="8">
        <v>43408.891437518738</v>
      </c>
      <c r="AR12" s="8">
        <v>0</v>
      </c>
      <c r="AS12" s="8">
        <v>1397008.5791907276</v>
      </c>
      <c r="AT12" s="8">
        <v>1571937.2543020796</v>
      </c>
      <c r="AU12" s="8">
        <v>0</v>
      </c>
      <c r="AV12" s="8">
        <v>2236.0744613954193</v>
      </c>
      <c r="AW12" s="8">
        <v>-244807.61718279062</v>
      </c>
      <c r="AX12" s="8">
        <v>83121.24738646335</v>
      </c>
      <c r="AY12" s="10">
        <v>1412486.9589671479</v>
      </c>
      <c r="AZ12" s="8">
        <v>2809495.5381578752</v>
      </c>
      <c r="BA12" s="11" t="s">
        <v>46</v>
      </c>
      <c r="BB12" s="12"/>
    </row>
    <row r="13" spans="1:54" s="13" customFormat="1" x14ac:dyDescent="0.2">
      <c r="A13" s="8">
        <v>1163799.3636595297</v>
      </c>
      <c r="B13" s="8">
        <v>117192.29835559713</v>
      </c>
      <c r="C13" s="8">
        <v>1046.3010326275196</v>
      </c>
      <c r="D13" s="8">
        <v>30.228846368841896</v>
      </c>
      <c r="E13" s="8">
        <v>9898.4332469916171</v>
      </c>
      <c r="F13" s="8">
        <v>78612.092250639573</v>
      </c>
      <c r="G13" s="8">
        <v>1370578.7173917545</v>
      </c>
      <c r="H13" s="14" t="s">
        <v>4</v>
      </c>
      <c r="I13" s="8">
        <v>0</v>
      </c>
      <c r="J13" s="8">
        <v>127509.58712807487</v>
      </c>
      <c r="K13" s="8">
        <v>0</v>
      </c>
      <c r="L13" s="8">
        <v>11189.443409781752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319276.2866326787</v>
      </c>
      <c r="T13" s="8">
        <v>871918.9458054729</v>
      </c>
      <c r="U13" s="8">
        <v>3798.2259369873341</v>
      </c>
      <c r="V13" s="8">
        <v>5102.3092097149383</v>
      </c>
      <c r="W13" s="8">
        <v>8204.1776447786451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1346998.9757674891</v>
      </c>
      <c r="AT13" s="8">
        <v>3760.2393437868777</v>
      </c>
      <c r="AU13" s="8">
        <v>0</v>
      </c>
      <c r="AV13" s="8">
        <v>9021.8341704235572</v>
      </c>
      <c r="AW13" s="8">
        <v>-48442.203283422808</v>
      </c>
      <c r="AX13" s="8">
        <v>59239.871393477639</v>
      </c>
      <c r="AY13" s="10">
        <v>23579.741624265262</v>
      </c>
      <c r="AZ13" s="8">
        <v>1370578.7173917543</v>
      </c>
      <c r="BA13" s="11" t="s">
        <v>47</v>
      </c>
      <c r="BB13" s="12"/>
    </row>
    <row r="14" spans="1:54" s="13" customFormat="1" x14ac:dyDescent="0.2">
      <c r="A14" s="8">
        <v>43473.66418605332</v>
      </c>
      <c r="B14" s="8">
        <v>0</v>
      </c>
      <c r="C14" s="8">
        <v>0</v>
      </c>
      <c r="D14" s="8">
        <v>0</v>
      </c>
      <c r="E14" s="8">
        <v>0</v>
      </c>
      <c r="F14" s="8">
        <v>3556.6569630899489</v>
      </c>
      <c r="G14" s="8">
        <v>47030.321149143267</v>
      </c>
      <c r="H14" s="14" t="s">
        <v>5</v>
      </c>
      <c r="I14" s="8">
        <v>0</v>
      </c>
      <c r="J14" s="8">
        <v>0</v>
      </c>
      <c r="K14" s="8">
        <v>169.89337681206831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255.2975151368164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425.19089194888471</v>
      </c>
      <c r="AT14" s="8">
        <v>37651.246130379193</v>
      </c>
      <c r="AU14" s="8">
        <v>0</v>
      </c>
      <c r="AV14" s="8">
        <v>0</v>
      </c>
      <c r="AW14" s="8">
        <v>0</v>
      </c>
      <c r="AX14" s="8">
        <v>8953.8841268151918</v>
      </c>
      <c r="AY14" s="10">
        <v>46605.130257194382</v>
      </c>
      <c r="AZ14" s="8">
        <v>47030.321149143267</v>
      </c>
      <c r="BA14" s="11" t="s">
        <v>48</v>
      </c>
      <c r="BB14" s="12"/>
    </row>
    <row r="15" spans="1:54" s="13" customFormat="1" x14ac:dyDescent="0.2">
      <c r="A15" s="8">
        <v>1639559.5021015713</v>
      </c>
      <c r="B15" s="8">
        <v>24330.693714454999</v>
      </c>
      <c r="C15" s="8">
        <v>1931.6727310459389</v>
      </c>
      <c r="D15" s="8">
        <v>14.847210420258552</v>
      </c>
      <c r="E15" s="8">
        <v>4013.3772481775181</v>
      </c>
      <c r="F15" s="8">
        <v>198076.13722426037</v>
      </c>
      <c r="G15" s="8">
        <v>1867926.2302299305</v>
      </c>
      <c r="H15" s="14" t="s">
        <v>6</v>
      </c>
      <c r="I15" s="8">
        <v>0</v>
      </c>
      <c r="J15" s="8">
        <v>0</v>
      </c>
      <c r="K15" s="8">
        <v>0</v>
      </c>
      <c r="L15" s="8">
        <v>30691.750299331004</v>
      </c>
      <c r="M15" s="8">
        <v>0</v>
      </c>
      <c r="N15" s="8">
        <v>0</v>
      </c>
      <c r="O15" s="8">
        <v>0</v>
      </c>
      <c r="P15" s="8">
        <v>1221261.5579313175</v>
      </c>
      <c r="Q15" s="8">
        <v>167537.24976647942</v>
      </c>
      <c r="R15" s="8">
        <v>9357.2188760883582</v>
      </c>
      <c r="S15" s="8">
        <v>0</v>
      </c>
      <c r="T15" s="8">
        <v>22329.325228133963</v>
      </c>
      <c r="U15" s="8">
        <v>0</v>
      </c>
      <c r="V15" s="8">
        <v>0</v>
      </c>
      <c r="W15" s="8">
        <v>6582.6134281859759</v>
      </c>
      <c r="X15" s="8">
        <v>0</v>
      </c>
      <c r="Y15" s="8">
        <v>0</v>
      </c>
      <c r="Z15" s="8">
        <v>408.08124101262098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3692.8389981799633</v>
      </c>
      <c r="AP15" s="8">
        <v>0</v>
      </c>
      <c r="AQ15" s="8">
        <v>14979.40219634495</v>
      </c>
      <c r="AR15" s="8">
        <v>0</v>
      </c>
      <c r="AS15" s="8">
        <v>1476840.0379650737</v>
      </c>
      <c r="AT15" s="8">
        <v>213308.32571985127</v>
      </c>
      <c r="AU15" s="8">
        <v>0</v>
      </c>
      <c r="AV15" s="8">
        <v>64219.184916844053</v>
      </c>
      <c r="AW15" s="8">
        <v>64433.052280093478</v>
      </c>
      <c r="AX15" s="8">
        <v>49125.629348067901</v>
      </c>
      <c r="AY15" s="10">
        <v>391086.19226485671</v>
      </c>
      <c r="AZ15" s="8">
        <v>1867926.2302299305</v>
      </c>
      <c r="BA15" s="11" t="s">
        <v>49</v>
      </c>
      <c r="BB15" s="12"/>
    </row>
    <row r="16" spans="1:54" s="13" customFormat="1" x14ac:dyDescent="0.2">
      <c r="A16" s="8">
        <v>356648.52355068718</v>
      </c>
      <c r="B16" s="8">
        <v>6277.9741940816966</v>
      </c>
      <c r="C16" s="8">
        <v>318.67769305579952</v>
      </c>
      <c r="D16" s="8">
        <v>74.554315459700405</v>
      </c>
      <c r="E16" s="8">
        <v>397.84362306119374</v>
      </c>
      <c r="F16" s="8">
        <v>91526.293938722374</v>
      </c>
      <c r="G16" s="8">
        <v>455243.86731506797</v>
      </c>
      <c r="H16" s="14" t="s">
        <v>7</v>
      </c>
      <c r="I16" s="8">
        <v>16077.30837105882</v>
      </c>
      <c r="J16" s="8">
        <v>10119.658236667936</v>
      </c>
      <c r="K16" s="8">
        <v>0</v>
      </c>
      <c r="L16" s="8">
        <v>1411.5895745625673</v>
      </c>
      <c r="M16" s="8">
        <v>15261.556366917755</v>
      </c>
      <c r="N16" s="8">
        <v>1914.5157392400199</v>
      </c>
      <c r="O16" s="8">
        <v>15419.37156118452</v>
      </c>
      <c r="P16" s="8">
        <v>893.44360098218715</v>
      </c>
      <c r="Q16" s="8">
        <v>0</v>
      </c>
      <c r="R16" s="8">
        <v>0</v>
      </c>
      <c r="S16" s="8">
        <v>6761.3343915120749</v>
      </c>
      <c r="T16" s="8">
        <v>0</v>
      </c>
      <c r="U16" s="8">
        <v>0</v>
      </c>
      <c r="V16" s="8">
        <v>0</v>
      </c>
      <c r="W16" s="8">
        <v>12176.600907867538</v>
      </c>
      <c r="X16" s="8">
        <v>178864.88238802194</v>
      </c>
      <c r="Y16" s="8">
        <v>8824.1213647067034</v>
      </c>
      <c r="Z16" s="8">
        <v>17962.751536537442</v>
      </c>
      <c r="AA16" s="8">
        <v>0</v>
      </c>
      <c r="AB16" s="8">
        <v>0</v>
      </c>
      <c r="AC16" s="8">
        <v>4904.1274898667989</v>
      </c>
      <c r="AD16" s="8">
        <v>0</v>
      </c>
      <c r="AE16" s="8">
        <v>0</v>
      </c>
      <c r="AF16" s="8">
        <v>0</v>
      </c>
      <c r="AG16" s="8">
        <v>72424.287389260702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8036.0637794377299</v>
      </c>
      <c r="AP16" s="8">
        <v>0</v>
      </c>
      <c r="AQ16" s="8">
        <v>3391.1058633114253</v>
      </c>
      <c r="AR16" s="8">
        <v>0</v>
      </c>
      <c r="AS16" s="8">
        <v>374442.71856113616</v>
      </c>
      <c r="AT16" s="8">
        <v>26399.995234582646</v>
      </c>
      <c r="AU16" s="8">
        <v>0</v>
      </c>
      <c r="AV16" s="8">
        <v>17145.106092319871</v>
      </c>
      <c r="AW16" s="8">
        <v>0</v>
      </c>
      <c r="AX16" s="8">
        <v>37256.047404406527</v>
      </c>
      <c r="AY16" s="10">
        <v>80801.148731309047</v>
      </c>
      <c r="AZ16" s="8">
        <v>455243.86729244521</v>
      </c>
      <c r="BA16" s="11" t="s">
        <v>50</v>
      </c>
      <c r="BB16" s="12"/>
    </row>
    <row r="17" spans="1:54" s="13" customFormat="1" x14ac:dyDescent="0.2">
      <c r="A17" s="8">
        <v>3449285.6459940583</v>
      </c>
      <c r="B17" s="8">
        <v>418.52700000000004</v>
      </c>
      <c r="C17" s="8">
        <v>0</v>
      </c>
      <c r="D17" s="8">
        <v>33930.116905376781</v>
      </c>
      <c r="E17" s="8">
        <v>854596.64603548159</v>
      </c>
      <c r="F17" s="8">
        <v>0</v>
      </c>
      <c r="G17" s="8">
        <v>4338230.9359349171</v>
      </c>
      <c r="H17" s="14" t="s">
        <v>8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130210.18214582528</v>
      </c>
      <c r="O17" s="8">
        <v>0</v>
      </c>
      <c r="P17" s="8">
        <v>0</v>
      </c>
      <c r="Q17" s="8">
        <v>0</v>
      </c>
      <c r="R17" s="8">
        <v>0</v>
      </c>
      <c r="S17" s="8">
        <v>20985.576064501314</v>
      </c>
      <c r="T17" s="8">
        <v>19374.519331773648</v>
      </c>
      <c r="U17" s="8">
        <v>5724.3138836505186</v>
      </c>
      <c r="V17" s="8">
        <v>0</v>
      </c>
      <c r="W17" s="8">
        <v>1123.2132767700177</v>
      </c>
      <c r="X17" s="8">
        <v>0</v>
      </c>
      <c r="Y17" s="8">
        <v>0</v>
      </c>
      <c r="Z17" s="8">
        <v>587.74646169806874</v>
      </c>
      <c r="AA17" s="8">
        <v>781463.17648120678</v>
      </c>
      <c r="AB17" s="8">
        <v>41340.676634806441</v>
      </c>
      <c r="AC17" s="8">
        <v>0</v>
      </c>
      <c r="AD17" s="8">
        <v>0</v>
      </c>
      <c r="AE17" s="8">
        <v>0</v>
      </c>
      <c r="AF17" s="8">
        <v>49435.318350756235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1050244.7226309883</v>
      </c>
      <c r="AT17" s="8">
        <v>0</v>
      </c>
      <c r="AU17" s="8">
        <v>0</v>
      </c>
      <c r="AV17" s="8">
        <v>63664.985482721488</v>
      </c>
      <c r="AW17" s="8">
        <v>-55611.662466917493</v>
      </c>
      <c r="AX17" s="8">
        <v>3279932.8902881239</v>
      </c>
      <c r="AY17" s="10">
        <v>3287986.2133039278</v>
      </c>
      <c r="AZ17" s="8">
        <v>4338230.9359349161</v>
      </c>
      <c r="BA17" s="11" t="s">
        <v>51</v>
      </c>
      <c r="BB17" s="12"/>
    </row>
    <row r="18" spans="1:54" s="13" customFormat="1" x14ac:dyDescent="0.2">
      <c r="A18" s="8">
        <v>1559912.6390820441</v>
      </c>
      <c r="B18" s="8">
        <v>4780.8129429406836</v>
      </c>
      <c r="C18" s="8">
        <v>15.580609151973029</v>
      </c>
      <c r="D18" s="8">
        <v>11613.189019164276</v>
      </c>
      <c r="E18" s="8">
        <v>33169.57645326644</v>
      </c>
      <c r="F18" s="8">
        <v>63494.244550094503</v>
      </c>
      <c r="G18" s="8">
        <v>1672986.0426566619</v>
      </c>
      <c r="H18" s="14" t="s">
        <v>9</v>
      </c>
      <c r="I18" s="8">
        <v>0</v>
      </c>
      <c r="J18" s="8">
        <v>0</v>
      </c>
      <c r="K18" s="8">
        <v>0</v>
      </c>
      <c r="L18" s="8">
        <v>816.14552254595901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1223.2115658803409</v>
      </c>
      <c r="AA18" s="8">
        <v>0</v>
      </c>
      <c r="AB18" s="8">
        <v>89353.126404108451</v>
      </c>
      <c r="AC18" s="8">
        <v>214058.56461919306</v>
      </c>
      <c r="AD18" s="8">
        <v>0</v>
      </c>
      <c r="AE18" s="8">
        <v>24350.450506976791</v>
      </c>
      <c r="AF18" s="8">
        <v>0</v>
      </c>
      <c r="AG18" s="8">
        <v>94827.049860255414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424628.54847896</v>
      </c>
      <c r="AT18" s="8">
        <v>0</v>
      </c>
      <c r="AU18" s="8">
        <v>0</v>
      </c>
      <c r="AV18" s="8">
        <v>0</v>
      </c>
      <c r="AW18" s="8">
        <v>-146387.98789716142</v>
      </c>
      <c r="AX18" s="8">
        <v>1394745.4820748635</v>
      </c>
      <c r="AY18" s="10">
        <v>1248357.4941777021</v>
      </c>
      <c r="AZ18" s="8">
        <v>1672986.0426566622</v>
      </c>
      <c r="BA18" s="11">
        <v>7</v>
      </c>
      <c r="BB18" s="12"/>
    </row>
    <row r="19" spans="1:54" s="13" customFormat="1" x14ac:dyDescent="0.2">
      <c r="A19" s="8">
        <v>1917121.2398995368</v>
      </c>
      <c r="B19" s="8">
        <v>44298.9885950752</v>
      </c>
      <c r="C19" s="8">
        <v>5987.4184198782323</v>
      </c>
      <c r="D19" s="8">
        <v>11064.504397300254</v>
      </c>
      <c r="E19" s="8">
        <v>31197.062863149411</v>
      </c>
      <c r="F19" s="8">
        <v>319406.39820724243</v>
      </c>
      <c r="G19" s="8">
        <v>2329075.6123821824</v>
      </c>
      <c r="H19" s="14" t="s">
        <v>10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53545.894876728402</v>
      </c>
      <c r="Q19" s="8">
        <v>0</v>
      </c>
      <c r="R19" s="8">
        <v>7519.4611895205981</v>
      </c>
      <c r="S19" s="8">
        <v>0</v>
      </c>
      <c r="T19" s="8">
        <v>13729.863747712476</v>
      </c>
      <c r="U19" s="8">
        <v>0</v>
      </c>
      <c r="V19" s="8">
        <v>0</v>
      </c>
      <c r="W19" s="8">
        <v>58881.432859955268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76902.709002106145</v>
      </c>
      <c r="AO19" s="8">
        <v>158675.50667865929</v>
      </c>
      <c r="AP19" s="8">
        <v>0</v>
      </c>
      <c r="AQ19" s="8">
        <v>9736.3696430844666</v>
      </c>
      <c r="AR19" s="8">
        <v>0</v>
      </c>
      <c r="AS19" s="8">
        <v>378991.23799776664</v>
      </c>
      <c r="AT19" s="8">
        <v>1936523.5440950512</v>
      </c>
      <c r="AU19" s="8">
        <v>0</v>
      </c>
      <c r="AV19" s="8">
        <v>0</v>
      </c>
      <c r="AW19" s="8">
        <v>-3.1074650469236076E-3</v>
      </c>
      <c r="AX19" s="8">
        <v>13560.83339682941</v>
      </c>
      <c r="AY19" s="10">
        <v>1950084.3743844156</v>
      </c>
      <c r="AZ19" s="8">
        <v>2329075.6123821824</v>
      </c>
      <c r="BA19" s="15">
        <v>8</v>
      </c>
      <c r="BB19" s="12"/>
    </row>
    <row r="20" spans="1:54" s="13" customFormat="1" x14ac:dyDescent="0.2">
      <c r="A20" s="8">
        <v>583324.85511890869</v>
      </c>
      <c r="B20" s="8">
        <v>35089.910073253261</v>
      </c>
      <c r="C20" s="8">
        <v>3094.9114341769446</v>
      </c>
      <c r="D20" s="8">
        <v>11769.333855566247</v>
      </c>
      <c r="E20" s="8">
        <v>1809.2699937384332</v>
      </c>
      <c r="F20" s="8">
        <v>101885.60234881107</v>
      </c>
      <c r="G20" s="8">
        <v>736973.88282445469</v>
      </c>
      <c r="H20" s="14" t="s">
        <v>11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20710.078347390423</v>
      </c>
      <c r="R20" s="8">
        <v>16834.718076927122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22895.81663584914</v>
      </c>
      <c r="AO20" s="8">
        <v>29570.50527929316</v>
      </c>
      <c r="AP20" s="8">
        <v>0</v>
      </c>
      <c r="AQ20" s="8">
        <v>7808.6940560322255</v>
      </c>
      <c r="AR20" s="8">
        <v>0</v>
      </c>
      <c r="AS20" s="8">
        <v>97819.812395492074</v>
      </c>
      <c r="AT20" s="8">
        <v>609171.45671162091</v>
      </c>
      <c r="AU20" s="8">
        <v>0</v>
      </c>
      <c r="AV20" s="8">
        <v>0</v>
      </c>
      <c r="AW20" s="8">
        <v>-6247.2674885156885</v>
      </c>
      <c r="AX20" s="8">
        <v>36229.881205857382</v>
      </c>
      <c r="AY20" s="10">
        <v>639154.07042896259</v>
      </c>
      <c r="AZ20" s="8">
        <v>736973.88282445469</v>
      </c>
      <c r="BA20" s="15">
        <v>9</v>
      </c>
      <c r="BB20" s="12"/>
    </row>
    <row r="21" spans="1:54" s="13" customFormat="1" x14ac:dyDescent="0.2">
      <c r="A21" s="8">
        <v>1911507.6570388805</v>
      </c>
      <c r="B21" s="8">
        <v>360054.38085630379</v>
      </c>
      <c r="C21" s="8">
        <v>24899.314264172612</v>
      </c>
      <c r="D21" s="8">
        <v>32300.155714920897</v>
      </c>
      <c r="E21" s="8">
        <v>5675.3221396052668</v>
      </c>
      <c r="F21" s="8">
        <v>279782.17923116195</v>
      </c>
      <c r="G21" s="8">
        <v>2614219.009245045</v>
      </c>
      <c r="H21" s="14" t="s">
        <v>12</v>
      </c>
      <c r="I21" s="8">
        <v>0</v>
      </c>
      <c r="J21" s="8">
        <v>0</v>
      </c>
      <c r="K21" s="8">
        <v>0</v>
      </c>
      <c r="L21" s="8">
        <v>7997.5236971901613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621532.4371961545</v>
      </c>
      <c r="S21" s="8">
        <v>0</v>
      </c>
      <c r="T21" s="8">
        <v>73049.671675555233</v>
      </c>
      <c r="U21" s="8">
        <v>3787.0688217683601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47331.729139613817</v>
      </c>
      <c r="AO21" s="8">
        <v>2732.797749817069</v>
      </c>
      <c r="AP21" s="8">
        <v>0</v>
      </c>
      <c r="AQ21" s="8">
        <v>19247.116838495633</v>
      </c>
      <c r="AR21" s="8">
        <v>0</v>
      </c>
      <c r="AS21" s="8">
        <v>775678.34511859482</v>
      </c>
      <c r="AT21" s="8">
        <v>1514377.3695204775</v>
      </c>
      <c r="AU21" s="8">
        <v>0</v>
      </c>
      <c r="AV21" s="8">
        <v>0</v>
      </c>
      <c r="AW21" s="8">
        <v>99949.72054089437</v>
      </c>
      <c r="AX21" s="8">
        <v>224213.57406507837</v>
      </c>
      <c r="AY21" s="10">
        <v>1838540.6641264502</v>
      </c>
      <c r="AZ21" s="8">
        <v>2614219.009245045</v>
      </c>
      <c r="BA21" s="15">
        <v>10</v>
      </c>
      <c r="BB21" s="12"/>
    </row>
    <row r="22" spans="1:54" s="13" customFormat="1" x14ac:dyDescent="0.2">
      <c r="A22" s="8">
        <v>659325.20864523796</v>
      </c>
      <c r="B22" s="8">
        <v>105808.53033862371</v>
      </c>
      <c r="C22" s="8">
        <v>16169.154315333559</v>
      </c>
      <c r="D22" s="8">
        <v>22755.849289617669</v>
      </c>
      <c r="E22" s="8">
        <v>3130.9919787948766</v>
      </c>
      <c r="F22" s="8">
        <v>145279.36472203</v>
      </c>
      <c r="G22" s="8">
        <v>952469.09928963776</v>
      </c>
      <c r="H22" s="14" t="s">
        <v>13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26322.563313350114</v>
      </c>
      <c r="R22" s="8">
        <v>8382.8450227644935</v>
      </c>
      <c r="S22" s="8">
        <v>16306.11296165028</v>
      </c>
      <c r="T22" s="8">
        <v>29626.248039672526</v>
      </c>
      <c r="U22" s="8">
        <v>106235.90513361005</v>
      </c>
      <c r="V22" s="8">
        <v>10.631111609523691</v>
      </c>
      <c r="W22" s="8">
        <v>0</v>
      </c>
      <c r="X22" s="8">
        <v>0</v>
      </c>
      <c r="Y22" s="8">
        <v>0</v>
      </c>
      <c r="Z22" s="8">
        <v>170.02893539815369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4606.1687157146935</v>
      </c>
      <c r="AO22" s="8">
        <v>10419.284125118169</v>
      </c>
      <c r="AP22" s="8">
        <v>0</v>
      </c>
      <c r="AQ22" s="8">
        <v>7823.955079098816</v>
      </c>
      <c r="AR22" s="8">
        <v>0</v>
      </c>
      <c r="AS22" s="8">
        <v>209903.74243798683</v>
      </c>
      <c r="AT22" s="8">
        <v>564909.73879694752</v>
      </c>
      <c r="AU22" s="8">
        <v>0</v>
      </c>
      <c r="AV22" s="8">
        <v>0</v>
      </c>
      <c r="AW22" s="8">
        <v>44622.41855835748</v>
      </c>
      <c r="AX22" s="8">
        <v>133033.199496346</v>
      </c>
      <c r="AY22" s="10">
        <v>742565.3568516511</v>
      </c>
      <c r="AZ22" s="8">
        <v>952469.09928963787</v>
      </c>
      <c r="BA22" s="15">
        <v>11</v>
      </c>
      <c r="BB22" s="12"/>
    </row>
    <row r="23" spans="1:54" s="13" customFormat="1" x14ac:dyDescent="0.2">
      <c r="A23" s="8">
        <v>2066653.7413473479</v>
      </c>
      <c r="B23" s="8">
        <v>228357.93120227949</v>
      </c>
      <c r="C23" s="8">
        <v>17595.499108783093</v>
      </c>
      <c r="D23" s="8">
        <v>26919.430046330628</v>
      </c>
      <c r="E23" s="8">
        <v>3856.3764430993033</v>
      </c>
      <c r="F23" s="8">
        <v>449347.11463661125</v>
      </c>
      <c r="G23" s="8">
        <v>2792730.0927844518</v>
      </c>
      <c r="H23" s="14" t="s">
        <v>14</v>
      </c>
      <c r="I23" s="8">
        <v>0</v>
      </c>
      <c r="J23" s="8">
        <v>0</v>
      </c>
      <c r="K23" s="8">
        <v>0</v>
      </c>
      <c r="L23" s="8">
        <v>216495.502891476</v>
      </c>
      <c r="M23" s="8">
        <v>1573.2000576873941</v>
      </c>
      <c r="N23" s="8">
        <v>0</v>
      </c>
      <c r="O23" s="8">
        <v>0</v>
      </c>
      <c r="P23" s="8">
        <v>9786.7765993633329</v>
      </c>
      <c r="Q23" s="8">
        <v>11290.043263654496</v>
      </c>
      <c r="R23" s="8">
        <v>12167.409608178923</v>
      </c>
      <c r="S23" s="8">
        <v>10181.512831831405</v>
      </c>
      <c r="T23" s="8">
        <v>70181.448563476151</v>
      </c>
      <c r="U23" s="8">
        <v>86967.790207989252</v>
      </c>
      <c r="V23" s="8">
        <v>0</v>
      </c>
      <c r="W23" s="8">
        <v>0</v>
      </c>
      <c r="X23" s="8">
        <v>0</v>
      </c>
      <c r="Y23" s="8">
        <v>0</v>
      </c>
      <c r="Z23" s="8">
        <v>14637.099640421144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13375.317388577037</v>
      </c>
      <c r="AO23" s="8">
        <v>34182.233606005335</v>
      </c>
      <c r="AP23" s="8">
        <v>0</v>
      </c>
      <c r="AQ23" s="8">
        <v>10720.003414350555</v>
      </c>
      <c r="AR23" s="8">
        <v>0</v>
      </c>
      <c r="AS23" s="8">
        <v>491558.33807301102</v>
      </c>
      <c r="AT23" s="8">
        <v>612018.1749194758</v>
      </c>
      <c r="AU23" s="8">
        <v>0</v>
      </c>
      <c r="AV23" s="8">
        <v>0</v>
      </c>
      <c r="AW23" s="8">
        <v>-165297.77919765346</v>
      </c>
      <c r="AX23" s="8">
        <v>1854451.3589896183</v>
      </c>
      <c r="AY23" s="10">
        <v>2301171.7547114408</v>
      </c>
      <c r="AZ23" s="8">
        <v>2792730.0927844518</v>
      </c>
      <c r="BA23" s="15">
        <v>12</v>
      </c>
      <c r="BB23" s="12"/>
    </row>
    <row r="24" spans="1:54" s="13" customFormat="1" x14ac:dyDescent="0.2">
      <c r="A24" s="8">
        <v>1681073.0209542001</v>
      </c>
      <c r="B24" s="8">
        <v>126966.11494237602</v>
      </c>
      <c r="C24" s="8">
        <v>12675.035608921004</v>
      </c>
      <c r="D24" s="8">
        <v>30943.57900549618</v>
      </c>
      <c r="E24" s="8">
        <v>101915.53598419376</v>
      </c>
      <c r="F24" s="8">
        <v>232011.46885850251</v>
      </c>
      <c r="G24" s="8">
        <v>2185584.7553536897</v>
      </c>
      <c r="H24" s="14" t="s">
        <v>15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136159.37885971402</v>
      </c>
      <c r="V24" s="8">
        <v>16.133844127540343</v>
      </c>
      <c r="W24" s="8">
        <v>1242.0012894989327</v>
      </c>
      <c r="X24" s="8">
        <v>0</v>
      </c>
      <c r="Y24" s="8">
        <v>0</v>
      </c>
      <c r="Z24" s="8">
        <v>1073.4886098916095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3407.8883882739265</v>
      </c>
      <c r="AL24" s="8">
        <v>0</v>
      </c>
      <c r="AM24" s="8">
        <v>0</v>
      </c>
      <c r="AN24" s="8">
        <v>229153.03749415421</v>
      </c>
      <c r="AO24" s="8">
        <v>713610.86403592571</v>
      </c>
      <c r="AP24" s="8">
        <v>0</v>
      </c>
      <c r="AQ24" s="8">
        <v>5866.4270729409072</v>
      </c>
      <c r="AR24" s="8">
        <v>0</v>
      </c>
      <c r="AS24" s="8">
        <v>1090529.2195945268</v>
      </c>
      <c r="AT24" s="8">
        <v>794241.4214905164</v>
      </c>
      <c r="AU24" s="8">
        <v>0</v>
      </c>
      <c r="AV24" s="8">
        <v>0</v>
      </c>
      <c r="AW24" s="8">
        <v>157749.76325249553</v>
      </c>
      <c r="AX24" s="8">
        <v>143064.35101615079</v>
      </c>
      <c r="AY24" s="10">
        <v>1095055.5357591626</v>
      </c>
      <c r="AZ24" s="8">
        <v>2185584.7553536897</v>
      </c>
      <c r="BA24" s="15">
        <v>13</v>
      </c>
      <c r="BB24" s="12"/>
    </row>
    <row r="25" spans="1:54" s="13" customFormat="1" x14ac:dyDescent="0.2">
      <c r="A25" s="8">
        <v>65638.250959333425</v>
      </c>
      <c r="B25" s="8">
        <v>30173.719148601718</v>
      </c>
      <c r="C25" s="8">
        <v>1458.6116679537706</v>
      </c>
      <c r="D25" s="8">
        <v>3179.1185697672254</v>
      </c>
      <c r="E25" s="8">
        <v>11448.89830212266</v>
      </c>
      <c r="F25" s="8">
        <v>16925.304016484719</v>
      </c>
      <c r="G25" s="8">
        <v>128823.90266426351</v>
      </c>
      <c r="H25" s="14" t="s">
        <v>16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22439.144688025415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22439.144688025415</v>
      </c>
      <c r="AT25" s="8">
        <v>96292.609964516581</v>
      </c>
      <c r="AU25" s="8">
        <v>0</v>
      </c>
      <c r="AV25" s="8">
        <v>0</v>
      </c>
      <c r="AW25" s="8">
        <v>9155</v>
      </c>
      <c r="AX25" s="8">
        <v>937.14801172152397</v>
      </c>
      <c r="AY25" s="10">
        <v>106384.75797623811</v>
      </c>
      <c r="AZ25" s="8">
        <v>128823.90266426351</v>
      </c>
      <c r="BA25" s="15">
        <v>14</v>
      </c>
      <c r="BB25" s="12"/>
    </row>
    <row r="26" spans="1:54" s="13" customFormat="1" x14ac:dyDescent="0.2">
      <c r="A26" s="8">
        <v>1132799.6788698672</v>
      </c>
      <c r="B26" s="8">
        <v>433203.62169230322</v>
      </c>
      <c r="C26" s="8">
        <v>17465.357680417899</v>
      </c>
      <c r="D26" s="8">
        <v>19229.34045486282</v>
      </c>
      <c r="E26" s="8">
        <v>11447.56911943884</v>
      </c>
      <c r="F26" s="8">
        <v>267187.73289710889</v>
      </c>
      <c r="G26" s="8">
        <v>1881333.300713999</v>
      </c>
      <c r="H26" s="14" t="s">
        <v>17</v>
      </c>
      <c r="I26" s="8">
        <v>0</v>
      </c>
      <c r="J26" s="8">
        <v>0</v>
      </c>
      <c r="K26" s="8">
        <v>0</v>
      </c>
      <c r="L26" s="8">
        <v>0</v>
      </c>
      <c r="M26" s="8">
        <v>861.51246569067189</v>
      </c>
      <c r="N26" s="8">
        <v>22638.961510776488</v>
      </c>
      <c r="O26" s="8">
        <v>7184.387355298998</v>
      </c>
      <c r="P26" s="8">
        <v>1380.3401309448482</v>
      </c>
      <c r="Q26" s="8">
        <v>369.08684888934255</v>
      </c>
      <c r="R26" s="8">
        <v>39020.80433763536</v>
      </c>
      <c r="S26" s="8">
        <v>18271.070460802101</v>
      </c>
      <c r="T26" s="8">
        <v>19990.317194299809</v>
      </c>
      <c r="U26" s="8">
        <v>8524.9811500813594</v>
      </c>
      <c r="V26" s="8">
        <v>225.51387434403691</v>
      </c>
      <c r="W26" s="8">
        <v>406620.27103032486</v>
      </c>
      <c r="X26" s="8">
        <v>8076.6338423726129</v>
      </c>
      <c r="Y26" s="8">
        <v>9423.6473171160997</v>
      </c>
      <c r="Z26" s="8">
        <v>9159.42287251579</v>
      </c>
      <c r="AA26" s="8">
        <v>5378.8228926406873</v>
      </c>
      <c r="AB26" s="8">
        <v>1896.6281771122615</v>
      </c>
      <c r="AC26" s="8">
        <v>1083.2011451577721</v>
      </c>
      <c r="AD26" s="8">
        <v>1753.2797440298075</v>
      </c>
      <c r="AE26" s="8">
        <v>4488.979729759265</v>
      </c>
      <c r="AF26" s="8">
        <v>3183.5316047541269</v>
      </c>
      <c r="AG26" s="8">
        <v>4491.1784367155724</v>
      </c>
      <c r="AH26" s="8">
        <v>22996.141877462305</v>
      </c>
      <c r="AI26" s="8">
        <v>22018.581719319518</v>
      </c>
      <c r="AJ26" s="8">
        <v>5176.3280395666789</v>
      </c>
      <c r="AK26" s="8">
        <v>7244.5058807236919</v>
      </c>
      <c r="AL26" s="8">
        <v>6546.151118057518</v>
      </c>
      <c r="AM26" s="8">
        <v>0</v>
      </c>
      <c r="AN26" s="8">
        <v>38974.780522311841</v>
      </c>
      <c r="AO26" s="8">
        <v>7339.4704279936705</v>
      </c>
      <c r="AP26" s="8">
        <v>0</v>
      </c>
      <c r="AQ26" s="8">
        <v>85270.665107465727</v>
      </c>
      <c r="AR26" s="8">
        <v>0</v>
      </c>
      <c r="AS26" s="8">
        <v>769589.19681416277</v>
      </c>
      <c r="AT26" s="8">
        <v>787510.23473321705</v>
      </c>
      <c r="AU26" s="8">
        <v>0</v>
      </c>
      <c r="AV26" s="8">
        <v>0</v>
      </c>
      <c r="AW26" s="8">
        <v>-33724.293328527361</v>
      </c>
      <c r="AX26" s="8">
        <v>357958.16249514656</v>
      </c>
      <c r="AY26" s="10">
        <v>1111744.1038998363</v>
      </c>
      <c r="AZ26" s="8">
        <v>1881333.300713999</v>
      </c>
      <c r="BA26" s="15">
        <v>15</v>
      </c>
      <c r="BB26" s="12"/>
    </row>
    <row r="27" spans="1:54" s="13" customFormat="1" x14ac:dyDescent="0.2">
      <c r="A27" s="8">
        <v>952376.4189432828</v>
      </c>
      <c r="B27" s="8">
        <v>36810.282837247178</v>
      </c>
      <c r="C27" s="8">
        <v>1660.746913143136</v>
      </c>
      <c r="D27" s="8">
        <v>11356.533810197387</v>
      </c>
      <c r="E27" s="8">
        <v>3553.1885317268552</v>
      </c>
      <c r="F27" s="8">
        <v>158087.6819256228</v>
      </c>
      <c r="G27" s="8">
        <v>1163844.8529612201</v>
      </c>
      <c r="H27" s="14" t="s">
        <v>18</v>
      </c>
      <c r="I27" s="8">
        <v>3831.4094235464772</v>
      </c>
      <c r="J27" s="8">
        <v>0</v>
      </c>
      <c r="K27" s="8">
        <v>0</v>
      </c>
      <c r="L27" s="8">
        <v>253.25866176349984</v>
      </c>
      <c r="M27" s="8">
        <v>525.4343307115571</v>
      </c>
      <c r="N27" s="8">
        <v>0</v>
      </c>
      <c r="O27" s="8">
        <v>15655.970307699285</v>
      </c>
      <c r="P27" s="8">
        <v>0</v>
      </c>
      <c r="Q27" s="8">
        <v>669.7379277911017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366185.12821444048</v>
      </c>
      <c r="Y27" s="8">
        <v>0</v>
      </c>
      <c r="Z27" s="8">
        <v>0</v>
      </c>
      <c r="AA27" s="8">
        <v>0</v>
      </c>
      <c r="AB27" s="8">
        <v>248.06483403441271</v>
      </c>
      <c r="AC27" s="8">
        <v>1855.4915887625325</v>
      </c>
      <c r="AD27" s="8">
        <v>3311.7862556540358</v>
      </c>
      <c r="AE27" s="8">
        <v>198.55890381721548</v>
      </c>
      <c r="AF27" s="8">
        <v>5916.472845656629</v>
      </c>
      <c r="AG27" s="8">
        <v>96609.789767529714</v>
      </c>
      <c r="AH27" s="8">
        <v>0</v>
      </c>
      <c r="AI27" s="8">
        <v>7100.8330900339206</v>
      </c>
      <c r="AJ27" s="8">
        <v>475.72915648533433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10086.172129808556</v>
      </c>
      <c r="AR27" s="8">
        <v>0</v>
      </c>
      <c r="AS27" s="8">
        <v>512923.83743773476</v>
      </c>
      <c r="AT27" s="8">
        <v>336187.28234639013</v>
      </c>
      <c r="AU27" s="8">
        <v>0</v>
      </c>
      <c r="AV27" s="8">
        <v>26995.032875811728</v>
      </c>
      <c r="AW27" s="8">
        <v>-43792.25983831066</v>
      </c>
      <c r="AX27" s="8">
        <v>331530.96013959416</v>
      </c>
      <c r="AY27" s="10">
        <v>650921.01552348537</v>
      </c>
      <c r="AZ27" s="8">
        <v>1163844.8529612201</v>
      </c>
      <c r="BA27" s="15">
        <v>16</v>
      </c>
      <c r="BB27" s="12"/>
    </row>
    <row r="28" spans="1:54" s="13" customFormat="1" x14ac:dyDescent="0.2">
      <c r="A28" s="8">
        <v>355275.5100000333</v>
      </c>
      <c r="B28" s="8">
        <v>317980.17637575173</v>
      </c>
      <c r="C28" s="8">
        <v>22462.761285178065</v>
      </c>
      <c r="D28" s="8">
        <v>6220.233595542104</v>
      </c>
      <c r="E28" s="8">
        <v>3937.3860282488881</v>
      </c>
      <c r="F28" s="8">
        <v>124646.31812524825</v>
      </c>
      <c r="G28" s="8">
        <v>830522.38541000232</v>
      </c>
      <c r="H28" s="14" t="s">
        <v>19</v>
      </c>
      <c r="I28" s="8">
        <v>132.89895747013404</v>
      </c>
      <c r="J28" s="8">
        <v>740.20208452232032</v>
      </c>
      <c r="K28" s="8">
        <v>0</v>
      </c>
      <c r="L28" s="8">
        <v>172.60792145775375</v>
      </c>
      <c r="M28" s="8">
        <v>0</v>
      </c>
      <c r="N28" s="8">
        <v>7606.9304454491457</v>
      </c>
      <c r="O28" s="8">
        <v>18051.346474038834</v>
      </c>
      <c r="P28" s="8">
        <v>6238.000508684846</v>
      </c>
      <c r="Q28" s="8">
        <v>5190.1863032071087</v>
      </c>
      <c r="R28" s="8">
        <v>29468.920934350645</v>
      </c>
      <c r="S28" s="8">
        <v>1766.6105543101048</v>
      </c>
      <c r="T28" s="8">
        <v>29783.875476356123</v>
      </c>
      <c r="U28" s="8">
        <v>15084.737584787819</v>
      </c>
      <c r="V28" s="8">
        <v>4252.5712515659898</v>
      </c>
      <c r="W28" s="8">
        <v>5496.8888506755038</v>
      </c>
      <c r="X28" s="8">
        <v>2728.7348181341663</v>
      </c>
      <c r="Y28" s="8">
        <v>99831.898711621092</v>
      </c>
      <c r="Z28" s="8">
        <v>27367.788981397087</v>
      </c>
      <c r="AA28" s="8">
        <v>6012.5075775840696</v>
      </c>
      <c r="AB28" s="8">
        <v>22220.072802384206</v>
      </c>
      <c r="AC28" s="8">
        <v>0</v>
      </c>
      <c r="AD28" s="8">
        <v>2604.4907885295884</v>
      </c>
      <c r="AE28" s="8">
        <v>1976.9925751933963</v>
      </c>
      <c r="AF28" s="8">
        <v>9912.9529716688812</v>
      </c>
      <c r="AG28" s="8">
        <v>5105.5208960080863</v>
      </c>
      <c r="AH28" s="8">
        <v>50490.474092848926</v>
      </c>
      <c r="AI28" s="8">
        <v>20804.383605050985</v>
      </c>
      <c r="AJ28" s="8">
        <v>12997.658307022728</v>
      </c>
      <c r="AK28" s="8">
        <v>66831.318057803655</v>
      </c>
      <c r="AL28" s="8">
        <v>104785.73326268018</v>
      </c>
      <c r="AM28" s="8">
        <v>0</v>
      </c>
      <c r="AN28" s="8">
        <v>62280.532012780997</v>
      </c>
      <c r="AO28" s="8">
        <v>14801.670186497489</v>
      </c>
      <c r="AP28" s="8">
        <v>0</v>
      </c>
      <c r="AQ28" s="8">
        <v>31686.896006538242</v>
      </c>
      <c r="AR28" s="8">
        <v>0</v>
      </c>
      <c r="AS28" s="8">
        <v>666425.40300062008</v>
      </c>
      <c r="AT28" s="8">
        <v>118828.65669647368</v>
      </c>
      <c r="AU28" s="8">
        <v>0</v>
      </c>
      <c r="AV28" s="8">
        <v>0</v>
      </c>
      <c r="AW28" s="8">
        <v>25031.366368515213</v>
      </c>
      <c r="AX28" s="8">
        <v>20236.959344393403</v>
      </c>
      <c r="AY28" s="10">
        <v>164096.9824093823</v>
      </c>
      <c r="AZ28" s="8">
        <v>830522.38541000243</v>
      </c>
      <c r="BA28" s="15">
        <v>17</v>
      </c>
      <c r="BB28" s="12"/>
    </row>
    <row r="29" spans="1:54" s="13" customFormat="1" x14ac:dyDescent="0.2">
      <c r="A29" s="8">
        <v>560830.92164975335</v>
      </c>
      <c r="B29" s="8">
        <v>1830814.6022039261</v>
      </c>
      <c r="C29" s="8">
        <v>124911.63264769693</v>
      </c>
      <c r="D29" s="8">
        <v>27751.072050459137</v>
      </c>
      <c r="E29" s="8">
        <v>47923.989039660228</v>
      </c>
      <c r="F29" s="8">
        <v>302669.99258061749</v>
      </c>
      <c r="G29" s="8">
        <v>2894902.210172113</v>
      </c>
      <c r="H29" s="14" t="s">
        <v>20</v>
      </c>
      <c r="I29" s="8">
        <v>69220.871724010925</v>
      </c>
      <c r="J29" s="8">
        <v>121536.10436616027</v>
      </c>
      <c r="K29" s="8">
        <v>1665.9447233706333</v>
      </c>
      <c r="L29" s="8">
        <v>75190.291679957692</v>
      </c>
      <c r="M29" s="8">
        <v>16386.181268673707</v>
      </c>
      <c r="N29" s="8">
        <v>12613.185021554993</v>
      </c>
      <c r="O29" s="8">
        <v>119694.42891497361</v>
      </c>
      <c r="P29" s="8">
        <v>4592.4095368434218</v>
      </c>
      <c r="Q29" s="8">
        <v>13120.229880991115</v>
      </c>
      <c r="R29" s="8">
        <v>24000.779797427575</v>
      </c>
      <c r="S29" s="8">
        <v>17254.887699094059</v>
      </c>
      <c r="T29" s="8">
        <v>96056.453080374937</v>
      </c>
      <c r="U29" s="8">
        <v>102663.83295362358</v>
      </c>
      <c r="V29" s="8">
        <v>5167.2123254289054</v>
      </c>
      <c r="W29" s="8">
        <v>96989.766924440468</v>
      </c>
      <c r="X29" s="8">
        <v>33436.034715191476</v>
      </c>
      <c r="Y29" s="8">
        <v>60914.258900435467</v>
      </c>
      <c r="Z29" s="8">
        <v>149151.19123614638</v>
      </c>
      <c r="AA29" s="8">
        <v>64855.324520966802</v>
      </c>
      <c r="AB29" s="8">
        <v>68074.764185769396</v>
      </c>
      <c r="AC29" s="8">
        <v>23033.453059882158</v>
      </c>
      <c r="AD29" s="8">
        <v>33357.153179058281</v>
      </c>
      <c r="AE29" s="8">
        <v>4897.2893182759772</v>
      </c>
      <c r="AF29" s="8">
        <v>33440.196043021679</v>
      </c>
      <c r="AG29" s="8">
        <v>151129.45095904198</v>
      </c>
      <c r="AH29" s="8">
        <v>40318.690371345176</v>
      </c>
      <c r="AI29" s="8">
        <v>318735.3775501764</v>
      </c>
      <c r="AJ29" s="8">
        <v>4422.7979714659059</v>
      </c>
      <c r="AK29" s="8">
        <v>1506.0203677012446</v>
      </c>
      <c r="AL29" s="8">
        <v>30121.021738965574</v>
      </c>
      <c r="AM29" s="8">
        <v>0</v>
      </c>
      <c r="AN29" s="8">
        <v>81172.511194771127</v>
      </c>
      <c r="AO29" s="8">
        <v>10692.709202888722</v>
      </c>
      <c r="AP29" s="8">
        <v>0</v>
      </c>
      <c r="AQ29" s="8">
        <v>47648.473321365454</v>
      </c>
      <c r="AR29" s="8">
        <v>0</v>
      </c>
      <c r="AS29" s="8">
        <v>1933059.2977333951</v>
      </c>
      <c r="AT29" s="8">
        <v>731780.05006260448</v>
      </c>
      <c r="AU29" s="8">
        <v>0</v>
      </c>
      <c r="AV29" s="8">
        <v>0</v>
      </c>
      <c r="AW29" s="8">
        <v>35758.5</v>
      </c>
      <c r="AX29" s="8">
        <v>194304.36237611377</v>
      </c>
      <c r="AY29" s="10">
        <v>961842.91243871825</v>
      </c>
      <c r="AZ29" s="8">
        <v>2894902.2101721135</v>
      </c>
      <c r="BA29" s="15">
        <v>18</v>
      </c>
      <c r="BB29" s="12"/>
    </row>
    <row r="30" spans="1:54" s="13" customFormat="1" x14ac:dyDescent="0.2">
      <c r="A30" s="8">
        <v>1559615.0524611541</v>
      </c>
      <c r="B30" s="8">
        <v>369264.40462371032</v>
      </c>
      <c r="C30" s="8">
        <v>5899.2984229342901</v>
      </c>
      <c r="D30" s="8">
        <v>218773.6618438258</v>
      </c>
      <c r="E30" s="8">
        <v>63369.497846221915</v>
      </c>
      <c r="F30" s="8">
        <v>230038.19618491459</v>
      </c>
      <c r="G30" s="8">
        <v>2446960.111382761</v>
      </c>
      <c r="H30" s="14" t="s">
        <v>21</v>
      </c>
      <c r="I30" s="8">
        <v>4015.7069649921868</v>
      </c>
      <c r="J30" s="8">
        <v>5117.4896296884299</v>
      </c>
      <c r="K30" s="8">
        <v>0</v>
      </c>
      <c r="L30" s="8">
        <v>2082.5655065961446</v>
      </c>
      <c r="M30" s="8">
        <v>29688.242788160383</v>
      </c>
      <c r="N30" s="8">
        <v>310320.48027770052</v>
      </c>
      <c r="O30" s="8">
        <v>13371.468384017071</v>
      </c>
      <c r="P30" s="8">
        <v>14508.815897771165</v>
      </c>
      <c r="Q30" s="8">
        <v>15089.624805706439</v>
      </c>
      <c r="R30" s="8">
        <v>23031.441459891463</v>
      </c>
      <c r="S30" s="8">
        <v>4930.6770506287339</v>
      </c>
      <c r="T30" s="8">
        <v>10730.13942548354</v>
      </c>
      <c r="U30" s="8">
        <v>23687.935720468482</v>
      </c>
      <c r="V30" s="8">
        <v>248.04984119967747</v>
      </c>
      <c r="W30" s="8">
        <v>11851.182042895356</v>
      </c>
      <c r="X30" s="8">
        <v>4386.9883468433127</v>
      </c>
      <c r="Y30" s="8">
        <v>2880.0835025156794</v>
      </c>
      <c r="Z30" s="8">
        <v>6908.5127473574585</v>
      </c>
      <c r="AA30" s="8">
        <v>20579.971846119293</v>
      </c>
      <c r="AB30" s="8">
        <v>40131.488265088803</v>
      </c>
      <c r="AC30" s="8">
        <v>28096.901107661521</v>
      </c>
      <c r="AD30" s="8">
        <v>1809.9966856888771</v>
      </c>
      <c r="AE30" s="8">
        <v>1464.7445400707484</v>
      </c>
      <c r="AF30" s="8">
        <v>60633.848860206526</v>
      </c>
      <c r="AG30" s="8">
        <v>10494.738156076763</v>
      </c>
      <c r="AH30" s="8">
        <v>19562.920507889739</v>
      </c>
      <c r="AI30" s="8">
        <v>933492.40511319623</v>
      </c>
      <c r="AJ30" s="8">
        <v>5512.496884315995</v>
      </c>
      <c r="AK30" s="8">
        <v>19265.086879549181</v>
      </c>
      <c r="AL30" s="8">
        <v>23011.957009169735</v>
      </c>
      <c r="AM30" s="8">
        <v>0</v>
      </c>
      <c r="AN30" s="8">
        <v>4001.8771501367924</v>
      </c>
      <c r="AO30" s="8">
        <v>5814.2104344979971</v>
      </c>
      <c r="AP30" s="8">
        <v>0</v>
      </c>
      <c r="AQ30" s="8">
        <v>82775.149326995379</v>
      </c>
      <c r="AR30" s="8">
        <v>0</v>
      </c>
      <c r="AS30" s="8">
        <v>1739497.1971585797</v>
      </c>
      <c r="AT30" s="8">
        <v>619983.31107608427</v>
      </c>
      <c r="AU30" s="8">
        <v>0</v>
      </c>
      <c r="AV30" s="8">
        <v>0</v>
      </c>
      <c r="AW30" s="8">
        <v>-46693.058172552424</v>
      </c>
      <c r="AX30" s="8">
        <v>134172.66132064947</v>
      </c>
      <c r="AY30" s="10">
        <v>707462.91422418132</v>
      </c>
      <c r="AZ30" s="8">
        <v>2446960.111382761</v>
      </c>
      <c r="BA30" s="15">
        <v>19</v>
      </c>
      <c r="BB30" s="12"/>
    </row>
    <row r="31" spans="1:54" s="13" customFormat="1" x14ac:dyDescent="0.2">
      <c r="A31" s="8">
        <v>848540.23773300776</v>
      </c>
      <c r="B31" s="8">
        <v>163065.09452133821</v>
      </c>
      <c r="C31" s="8">
        <v>10682.486754031714</v>
      </c>
      <c r="D31" s="8">
        <v>3605.4081191494643</v>
      </c>
      <c r="E31" s="8">
        <v>14931.049565420846</v>
      </c>
      <c r="F31" s="8">
        <v>103876.07723515884</v>
      </c>
      <c r="G31" s="8">
        <v>1144700.3539281068</v>
      </c>
      <c r="H31" s="14" t="s">
        <v>22</v>
      </c>
      <c r="I31" s="8">
        <v>0</v>
      </c>
      <c r="J31" s="8">
        <v>0</v>
      </c>
      <c r="K31" s="8">
        <v>0</v>
      </c>
      <c r="L31" s="8">
        <v>2762.7140185859985</v>
      </c>
      <c r="M31" s="8">
        <v>0</v>
      </c>
      <c r="N31" s="8">
        <v>0</v>
      </c>
      <c r="O31" s="8">
        <v>4311.9288170873142</v>
      </c>
      <c r="P31" s="8">
        <v>0</v>
      </c>
      <c r="Q31" s="8">
        <v>3948.4250728479333</v>
      </c>
      <c r="R31" s="8">
        <v>0</v>
      </c>
      <c r="S31" s="8">
        <v>6804.0717543296842</v>
      </c>
      <c r="T31" s="8">
        <v>8949.8594415567186</v>
      </c>
      <c r="U31" s="8">
        <v>101774.15055355997</v>
      </c>
      <c r="V31" s="8">
        <v>0</v>
      </c>
      <c r="W31" s="8">
        <v>793.57201957889242</v>
      </c>
      <c r="X31" s="8">
        <v>3425.1036644804635</v>
      </c>
      <c r="Y31" s="8">
        <v>0</v>
      </c>
      <c r="Z31" s="8">
        <v>15347.335438950522</v>
      </c>
      <c r="AA31" s="8">
        <v>0</v>
      </c>
      <c r="AB31" s="8">
        <v>67278.245234503411</v>
      </c>
      <c r="AC31" s="8">
        <v>0</v>
      </c>
      <c r="AD31" s="8">
        <v>8150.1530288396525</v>
      </c>
      <c r="AE31" s="8">
        <v>3294.9042586837418</v>
      </c>
      <c r="AF31" s="8">
        <v>28996.594902428467</v>
      </c>
      <c r="AG31" s="8">
        <v>656474.06194105814</v>
      </c>
      <c r="AH31" s="8">
        <v>0</v>
      </c>
      <c r="AI31" s="8">
        <v>23164.856695976498</v>
      </c>
      <c r="AJ31" s="8">
        <v>568.69357232637753</v>
      </c>
      <c r="AK31" s="8">
        <v>4035.0733393805435</v>
      </c>
      <c r="AL31" s="8">
        <v>0</v>
      </c>
      <c r="AM31" s="8">
        <v>0</v>
      </c>
      <c r="AN31" s="8">
        <v>2527.0926013261883</v>
      </c>
      <c r="AO31" s="8">
        <v>0</v>
      </c>
      <c r="AP31" s="8">
        <v>0</v>
      </c>
      <c r="AQ31" s="8">
        <v>28041.141561195076</v>
      </c>
      <c r="AR31" s="8">
        <v>0</v>
      </c>
      <c r="AS31" s="8">
        <v>970647.97791669564</v>
      </c>
      <c r="AT31" s="8">
        <v>52776.537466667425</v>
      </c>
      <c r="AU31" s="8">
        <v>0</v>
      </c>
      <c r="AV31" s="8">
        <v>0</v>
      </c>
      <c r="AW31" s="8">
        <v>106125.99440410458</v>
      </c>
      <c r="AX31" s="8">
        <v>15149.844140639363</v>
      </c>
      <c r="AY31" s="10">
        <v>174052.37601141137</v>
      </c>
      <c r="AZ31" s="8">
        <v>1144700.3539281071</v>
      </c>
      <c r="BA31" s="15">
        <v>20</v>
      </c>
      <c r="BB31" s="12"/>
    </row>
    <row r="32" spans="1:54" s="13" customFormat="1" x14ac:dyDescent="0.2">
      <c r="A32" s="8">
        <v>370977.19531251618</v>
      </c>
      <c r="B32" s="8">
        <v>433395.21275989182</v>
      </c>
      <c r="C32" s="8">
        <v>21901.295383323584</v>
      </c>
      <c r="D32" s="8">
        <v>2791.6220830953462</v>
      </c>
      <c r="E32" s="8">
        <v>36253.091581577086</v>
      </c>
      <c r="F32" s="8">
        <v>35900.236071253545</v>
      </c>
      <c r="G32" s="8">
        <v>901218.6531916575</v>
      </c>
      <c r="H32" s="14" t="s">
        <v>23</v>
      </c>
      <c r="I32" s="8">
        <v>0</v>
      </c>
      <c r="J32" s="8">
        <v>0</v>
      </c>
      <c r="K32" s="8">
        <v>0</v>
      </c>
      <c r="L32" s="8">
        <v>0</v>
      </c>
      <c r="M32" s="8">
        <v>216.99754545377996</v>
      </c>
      <c r="N32" s="8">
        <v>110452.23613606738</v>
      </c>
      <c r="O32" s="8">
        <v>25877.307859336528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7409.816497360418</v>
      </c>
      <c r="V32" s="8">
        <v>0</v>
      </c>
      <c r="W32" s="8">
        <v>0</v>
      </c>
      <c r="X32" s="8">
        <v>6926.1555018273721</v>
      </c>
      <c r="Y32" s="8">
        <v>0</v>
      </c>
      <c r="Z32" s="8">
        <v>14797.456117725025</v>
      </c>
      <c r="AA32" s="8">
        <v>2542.7565768761092</v>
      </c>
      <c r="AB32" s="8">
        <v>582.42322602070817</v>
      </c>
      <c r="AC32" s="8">
        <v>605.48965745694034</v>
      </c>
      <c r="AD32" s="8">
        <v>38497.430648281319</v>
      </c>
      <c r="AE32" s="8">
        <v>228708.48462726315</v>
      </c>
      <c r="AF32" s="8">
        <v>0</v>
      </c>
      <c r="AG32" s="8">
        <v>127808.96478571297</v>
      </c>
      <c r="AH32" s="8">
        <v>0</v>
      </c>
      <c r="AI32" s="8">
        <v>0</v>
      </c>
      <c r="AJ32" s="8">
        <v>0</v>
      </c>
      <c r="AK32" s="8">
        <v>0</v>
      </c>
      <c r="AL32" s="8">
        <v>9845.9111374657914</v>
      </c>
      <c r="AM32" s="8">
        <v>0</v>
      </c>
      <c r="AN32" s="8">
        <v>0</v>
      </c>
      <c r="AO32" s="8">
        <v>0</v>
      </c>
      <c r="AP32" s="8">
        <v>0</v>
      </c>
      <c r="AQ32" s="8">
        <v>12539.528561524838</v>
      </c>
      <c r="AR32" s="8">
        <v>0</v>
      </c>
      <c r="AS32" s="8">
        <v>586810.95887837233</v>
      </c>
      <c r="AT32" s="8">
        <v>0</v>
      </c>
      <c r="AU32" s="8">
        <v>0</v>
      </c>
      <c r="AV32" s="8">
        <v>0</v>
      </c>
      <c r="AW32" s="8">
        <v>-69498.773782801523</v>
      </c>
      <c r="AX32" s="8">
        <v>383906.46809608676</v>
      </c>
      <c r="AY32" s="10">
        <v>314407.69431328523</v>
      </c>
      <c r="AZ32" s="8">
        <v>901218.6531916575</v>
      </c>
      <c r="BA32" s="15">
        <v>21</v>
      </c>
      <c r="BB32" s="12"/>
    </row>
    <row r="33" spans="1:54" s="13" customFormat="1" x14ac:dyDescent="0.2">
      <c r="A33" s="8">
        <v>199447.62681976589</v>
      </c>
      <c r="B33" s="8">
        <v>2637254.4786766279</v>
      </c>
      <c r="C33" s="8">
        <v>159413.83629953073</v>
      </c>
      <c r="D33" s="8">
        <v>67238.653721459195</v>
      </c>
      <c r="E33" s="8">
        <v>35751.492981288633</v>
      </c>
      <c r="F33" s="8">
        <v>262408.94167931669</v>
      </c>
      <c r="G33" s="8">
        <v>3361515.030177989</v>
      </c>
      <c r="H33" s="14" t="s">
        <v>24</v>
      </c>
      <c r="I33" s="8">
        <v>4150.0093321980103</v>
      </c>
      <c r="J33" s="8">
        <v>8169.0022906929044</v>
      </c>
      <c r="K33" s="8">
        <v>327.87450552748732</v>
      </c>
      <c r="L33" s="8">
        <v>2865.2351996051498</v>
      </c>
      <c r="M33" s="8">
        <v>12183.885265758914</v>
      </c>
      <c r="N33" s="8">
        <v>37293.130813798482</v>
      </c>
      <c r="O33" s="8">
        <v>64016.477202135815</v>
      </c>
      <c r="P33" s="8">
        <v>5039.3185346872697</v>
      </c>
      <c r="Q33" s="8">
        <v>13051.953441737143</v>
      </c>
      <c r="R33" s="8">
        <v>10361.700890344535</v>
      </c>
      <c r="S33" s="8">
        <v>16470.470952194319</v>
      </c>
      <c r="T33" s="8">
        <v>53782.292444865234</v>
      </c>
      <c r="U33" s="8">
        <v>18102.823722804045</v>
      </c>
      <c r="V33" s="8">
        <v>0</v>
      </c>
      <c r="W33" s="8">
        <v>5822.9006717197335</v>
      </c>
      <c r="X33" s="8">
        <v>5987.1744520595585</v>
      </c>
      <c r="Y33" s="8">
        <v>5377.8223853676609</v>
      </c>
      <c r="Z33" s="8">
        <v>10381.340254692876</v>
      </c>
      <c r="AA33" s="8">
        <v>12728.517089780162</v>
      </c>
      <c r="AB33" s="8">
        <v>9982.6374920969938</v>
      </c>
      <c r="AC33" s="8">
        <v>11317.918211712153</v>
      </c>
      <c r="AD33" s="8">
        <v>16246.954960251142</v>
      </c>
      <c r="AE33" s="8">
        <v>1449.0420901148302</v>
      </c>
      <c r="AF33" s="8">
        <v>36692.655476550884</v>
      </c>
      <c r="AG33" s="8">
        <v>55942.328582502749</v>
      </c>
      <c r="AH33" s="8">
        <v>39923.636406216683</v>
      </c>
      <c r="AI33" s="8">
        <v>289288.80507761915</v>
      </c>
      <c r="AJ33" s="8">
        <v>9927.8900202178156</v>
      </c>
      <c r="AK33" s="8">
        <v>21562.546044136849</v>
      </c>
      <c r="AL33" s="8">
        <v>3862.6849193979083</v>
      </c>
      <c r="AM33" s="8">
        <v>0</v>
      </c>
      <c r="AN33" s="8">
        <v>18631.398586531515</v>
      </c>
      <c r="AO33" s="8">
        <v>4100.9721819549768</v>
      </c>
      <c r="AP33" s="8">
        <v>0</v>
      </c>
      <c r="AQ33" s="8">
        <v>121188.60606004209</v>
      </c>
      <c r="AR33" s="8">
        <v>0</v>
      </c>
      <c r="AS33" s="8">
        <v>926230.00555931509</v>
      </c>
      <c r="AT33" s="8">
        <v>586585.11211691902</v>
      </c>
      <c r="AU33" s="8">
        <v>0</v>
      </c>
      <c r="AV33" s="8">
        <v>1556181.3541991317</v>
      </c>
      <c r="AW33" s="8">
        <v>-8540.3838580696283</v>
      </c>
      <c r="AX33" s="8">
        <v>301058.94216069265</v>
      </c>
      <c r="AY33" s="10">
        <v>2435285.0246186736</v>
      </c>
      <c r="AZ33" s="8">
        <v>3361515.030177989</v>
      </c>
      <c r="BA33" s="15">
        <v>22</v>
      </c>
      <c r="BB33" s="12"/>
    </row>
    <row r="34" spans="1:54" s="13" customFormat="1" x14ac:dyDescent="0.2">
      <c r="A34" s="8">
        <v>426384.3636164745</v>
      </c>
      <c r="B34" s="8">
        <v>289497.04850735771</v>
      </c>
      <c r="C34" s="8">
        <v>25188.767006717666</v>
      </c>
      <c r="D34" s="8">
        <v>16369.986847574592</v>
      </c>
      <c r="E34" s="8">
        <v>41443.863451428617</v>
      </c>
      <c r="F34" s="8">
        <v>75139.405842510532</v>
      </c>
      <c r="G34" s="8">
        <v>874023.43527206359</v>
      </c>
      <c r="H34" s="14" t="s">
        <v>25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2117.2748422161044</v>
      </c>
      <c r="P34" s="8">
        <v>0</v>
      </c>
      <c r="Q34" s="8">
        <v>0</v>
      </c>
      <c r="R34" s="8">
        <v>0</v>
      </c>
      <c r="S34" s="8">
        <v>450.00040692590653</v>
      </c>
      <c r="T34" s="8">
        <v>0</v>
      </c>
      <c r="U34" s="8">
        <v>3144.5553413363373</v>
      </c>
      <c r="V34" s="8">
        <v>0</v>
      </c>
      <c r="W34" s="8">
        <v>11617.739760952501</v>
      </c>
      <c r="X34" s="8">
        <v>0</v>
      </c>
      <c r="Y34" s="8">
        <v>0</v>
      </c>
      <c r="Z34" s="8">
        <v>1553.9076061805633</v>
      </c>
      <c r="AA34" s="8">
        <v>3228.5941206148354</v>
      </c>
      <c r="AB34" s="8">
        <v>0</v>
      </c>
      <c r="AC34" s="8">
        <v>6500.0546646337179</v>
      </c>
      <c r="AD34" s="8">
        <v>0</v>
      </c>
      <c r="AE34" s="8">
        <v>6594.8194847118184</v>
      </c>
      <c r="AF34" s="8">
        <v>0</v>
      </c>
      <c r="AG34" s="8">
        <v>0</v>
      </c>
      <c r="AH34" s="8">
        <v>20166.023451678946</v>
      </c>
      <c r="AI34" s="8">
        <v>1272.9250059126875</v>
      </c>
      <c r="AJ34" s="8">
        <v>17377.787757408772</v>
      </c>
      <c r="AK34" s="8">
        <v>21339.942700685951</v>
      </c>
      <c r="AL34" s="8">
        <v>0</v>
      </c>
      <c r="AM34" s="8">
        <v>0</v>
      </c>
      <c r="AN34" s="8">
        <v>71343.655112136868</v>
      </c>
      <c r="AO34" s="8">
        <v>0</v>
      </c>
      <c r="AP34" s="8">
        <v>0</v>
      </c>
      <c r="AQ34" s="8">
        <v>13997.860811330538</v>
      </c>
      <c r="AR34" s="8">
        <v>0</v>
      </c>
      <c r="AS34" s="8">
        <v>180705.14106672554</v>
      </c>
      <c r="AT34" s="8">
        <v>210461.75430618456</v>
      </c>
      <c r="AU34" s="8">
        <v>0</v>
      </c>
      <c r="AV34" s="8">
        <v>154592.34766526998</v>
      </c>
      <c r="AW34" s="8">
        <v>47671.959823078607</v>
      </c>
      <c r="AX34" s="8">
        <v>280592.23241080495</v>
      </c>
      <c r="AY34" s="10">
        <v>693318.29420533811</v>
      </c>
      <c r="AZ34" s="8">
        <v>874023.43527206359</v>
      </c>
      <c r="BA34" s="15">
        <v>23</v>
      </c>
      <c r="BB34" s="12"/>
    </row>
    <row r="35" spans="1:54" s="13" customFormat="1" x14ac:dyDescent="0.2">
      <c r="A35" s="8">
        <v>955330.68683199584</v>
      </c>
      <c r="B35" s="8">
        <v>0</v>
      </c>
      <c r="C35" s="8">
        <v>0</v>
      </c>
      <c r="D35" s="8">
        <v>25231.447173340766</v>
      </c>
      <c r="E35" s="8">
        <v>45258.485338658837</v>
      </c>
      <c r="F35" s="8">
        <v>0</v>
      </c>
      <c r="G35" s="8">
        <v>1025820.6193439955</v>
      </c>
      <c r="H35" s="14" t="s">
        <v>26</v>
      </c>
      <c r="I35" s="8">
        <v>0</v>
      </c>
      <c r="J35" s="8">
        <v>288.69133505434445</v>
      </c>
      <c r="K35" s="8">
        <v>0</v>
      </c>
      <c r="L35" s="8">
        <v>54.292123513164903</v>
      </c>
      <c r="M35" s="8">
        <v>0</v>
      </c>
      <c r="N35" s="8">
        <v>36132.024666347927</v>
      </c>
      <c r="O35" s="8">
        <v>26849.523327641899</v>
      </c>
      <c r="P35" s="8">
        <v>7966.0980459667981</v>
      </c>
      <c r="Q35" s="8">
        <v>3714.5428244804266</v>
      </c>
      <c r="R35" s="8">
        <v>8944.3316926790267</v>
      </c>
      <c r="S35" s="8">
        <v>9994.7569168144983</v>
      </c>
      <c r="T35" s="8">
        <v>27317.895364098826</v>
      </c>
      <c r="U35" s="8">
        <v>18145.910212048027</v>
      </c>
      <c r="V35" s="8">
        <v>209.31917743249082</v>
      </c>
      <c r="W35" s="8">
        <v>12267.087918506608</v>
      </c>
      <c r="X35" s="8">
        <v>3021.8053723326793</v>
      </c>
      <c r="Y35" s="8">
        <v>3489.9480339064976</v>
      </c>
      <c r="Z35" s="8">
        <v>7011.0929564805547</v>
      </c>
      <c r="AA35" s="8">
        <v>24180.855470979499</v>
      </c>
      <c r="AB35" s="8">
        <v>25647.683235067332</v>
      </c>
      <c r="AC35" s="8">
        <v>9487.8294543900956</v>
      </c>
      <c r="AD35" s="8">
        <v>2291.1773220747514</v>
      </c>
      <c r="AE35" s="8">
        <v>687.05108123643265</v>
      </c>
      <c r="AF35" s="8">
        <v>5742.0670754958737</v>
      </c>
      <c r="AG35" s="8">
        <v>3396.3834189354179</v>
      </c>
      <c r="AH35" s="8">
        <v>30590.944366851698</v>
      </c>
      <c r="AI35" s="8">
        <v>3428.2732909018405</v>
      </c>
      <c r="AJ35" s="8">
        <v>7859.7674317458086</v>
      </c>
      <c r="AK35" s="8">
        <v>11903.99299401089</v>
      </c>
      <c r="AL35" s="8">
        <v>36065.082847366924</v>
      </c>
      <c r="AM35" s="8">
        <v>0</v>
      </c>
      <c r="AN35" s="8">
        <v>26288.467436262559</v>
      </c>
      <c r="AO35" s="8">
        <v>17068.367864077922</v>
      </c>
      <c r="AP35" s="8">
        <v>0</v>
      </c>
      <c r="AQ35" s="8">
        <v>31326.075347128022</v>
      </c>
      <c r="AR35" s="8">
        <v>0</v>
      </c>
      <c r="AS35" s="8">
        <v>401371.33860382886</v>
      </c>
      <c r="AT35" s="8">
        <v>624449.28074016655</v>
      </c>
      <c r="AU35" s="8">
        <v>0</v>
      </c>
      <c r="AV35" s="8">
        <v>0</v>
      </c>
      <c r="AW35" s="8">
        <v>0</v>
      </c>
      <c r="AX35" s="8">
        <v>0</v>
      </c>
      <c r="AY35" s="10">
        <v>624449.28074016655</v>
      </c>
      <c r="AZ35" s="8">
        <v>1025820.6193439953</v>
      </c>
      <c r="BA35" s="15">
        <v>24</v>
      </c>
      <c r="BB35" s="12"/>
    </row>
    <row r="36" spans="1:54" s="13" customFormat="1" x14ac:dyDescent="0.2">
      <c r="A36" s="8">
        <v>2358002.0250253784</v>
      </c>
      <c r="B36" s="8">
        <v>0</v>
      </c>
      <c r="C36" s="8">
        <v>0</v>
      </c>
      <c r="D36" s="8">
        <v>61725.645382544899</v>
      </c>
      <c r="E36" s="8">
        <v>5678.2825824218917</v>
      </c>
      <c r="F36" s="8">
        <v>0</v>
      </c>
      <c r="G36" s="8">
        <v>2425405.9529903452</v>
      </c>
      <c r="H36" s="14" t="s">
        <v>27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9765.7694463125954</v>
      </c>
      <c r="O36" s="8">
        <v>308.49412670912636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1681.9654531072313</v>
      </c>
      <c r="AA36" s="8">
        <v>978.01731514550329</v>
      </c>
      <c r="AB36" s="8">
        <v>864.3880778470301</v>
      </c>
      <c r="AC36" s="8">
        <v>194.78115357944938</v>
      </c>
      <c r="AD36" s="8">
        <v>0</v>
      </c>
      <c r="AE36" s="8">
        <v>0</v>
      </c>
      <c r="AF36" s="8">
        <v>7996.6319113456448</v>
      </c>
      <c r="AG36" s="8">
        <v>0</v>
      </c>
      <c r="AH36" s="8">
        <v>2934.9980172818305</v>
      </c>
      <c r="AI36" s="8">
        <v>1097.9258340335532</v>
      </c>
      <c r="AJ36" s="8">
        <v>0</v>
      </c>
      <c r="AK36" s="8">
        <v>3051.6501765068933</v>
      </c>
      <c r="AL36" s="8">
        <v>3757.7958419498091</v>
      </c>
      <c r="AM36" s="8">
        <v>46823.550999999999</v>
      </c>
      <c r="AN36" s="8">
        <v>2689.3376935983906</v>
      </c>
      <c r="AO36" s="8">
        <v>3650.6904231102731</v>
      </c>
      <c r="AP36" s="8">
        <v>0</v>
      </c>
      <c r="AQ36" s="8">
        <v>1551.4002100549305</v>
      </c>
      <c r="AR36" s="8">
        <v>0</v>
      </c>
      <c r="AS36" s="8">
        <v>87347.396680582257</v>
      </c>
      <c r="AT36" s="8">
        <v>0</v>
      </c>
      <c r="AU36" s="8">
        <v>0</v>
      </c>
      <c r="AV36" s="8">
        <v>2338058.5562824127</v>
      </c>
      <c r="AW36" s="8">
        <v>0</v>
      </c>
      <c r="AX36" s="8">
        <v>0</v>
      </c>
      <c r="AY36" s="10">
        <v>2338058.5562824127</v>
      </c>
      <c r="AZ36" s="8">
        <v>2425405.952962995</v>
      </c>
      <c r="BA36" s="15">
        <v>25</v>
      </c>
      <c r="BB36" s="12"/>
    </row>
    <row r="37" spans="1:54" s="13" customFormat="1" x14ac:dyDescent="0.2">
      <c r="A37" s="8">
        <v>3983371.2156850654</v>
      </c>
      <c r="B37" s="8">
        <v>0</v>
      </c>
      <c r="C37" s="8">
        <v>0</v>
      </c>
      <c r="D37" s="8">
        <v>0</v>
      </c>
      <c r="E37" s="8">
        <v>0</v>
      </c>
      <c r="F37" s="8">
        <v>-3983371.2156850654</v>
      </c>
      <c r="G37" s="8">
        <v>0</v>
      </c>
      <c r="H37" s="14" t="s">
        <v>28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10">
        <v>0</v>
      </c>
      <c r="AZ37" s="8">
        <v>0</v>
      </c>
      <c r="BA37" s="15">
        <v>26</v>
      </c>
      <c r="BB37" s="12"/>
    </row>
    <row r="38" spans="1:54" s="13" customFormat="1" x14ac:dyDescent="0.2">
      <c r="A38" s="8">
        <v>4399418.7786423955</v>
      </c>
      <c r="B38" s="8">
        <v>739823.13606227073</v>
      </c>
      <c r="C38" s="8">
        <v>0</v>
      </c>
      <c r="D38" s="8">
        <v>28684.557683643565</v>
      </c>
      <c r="E38" s="8">
        <v>14835.04992953454</v>
      </c>
      <c r="F38" s="8">
        <v>0</v>
      </c>
      <c r="G38" s="8">
        <v>5182761.5223178444</v>
      </c>
      <c r="H38" s="14" t="s">
        <v>29</v>
      </c>
      <c r="I38" s="8">
        <v>19030.173469045192</v>
      </c>
      <c r="J38" s="8">
        <v>135619.94298123146</v>
      </c>
      <c r="K38" s="8">
        <v>705.52331068540036</v>
      </c>
      <c r="L38" s="8">
        <v>5549.9883805853424</v>
      </c>
      <c r="M38" s="8">
        <v>9801.0506919209674</v>
      </c>
      <c r="N38" s="8">
        <v>497129.66311543103</v>
      </c>
      <c r="O38" s="8">
        <v>34763.719762084409</v>
      </c>
      <c r="P38" s="8">
        <v>65379.941396192648</v>
      </c>
      <c r="Q38" s="8">
        <v>22794.73395289361</v>
      </c>
      <c r="R38" s="8">
        <v>56330.942214527618</v>
      </c>
      <c r="S38" s="8">
        <v>13283.329172163698</v>
      </c>
      <c r="T38" s="8">
        <v>108531.61495878025</v>
      </c>
      <c r="U38" s="8">
        <v>61802.26580736586</v>
      </c>
      <c r="V38" s="8">
        <v>636.47408149721628</v>
      </c>
      <c r="W38" s="8">
        <v>16716.143690064109</v>
      </c>
      <c r="X38" s="8">
        <v>18844.004965870434</v>
      </c>
      <c r="Y38" s="8">
        <v>10892.356743994744</v>
      </c>
      <c r="Z38" s="8">
        <v>15980.678611454501</v>
      </c>
      <c r="AA38" s="8">
        <v>71536.760221623059</v>
      </c>
      <c r="AB38" s="8">
        <v>21865.769148034291</v>
      </c>
      <c r="AC38" s="8">
        <v>23102.913723997259</v>
      </c>
      <c r="AD38" s="8">
        <v>33092.802790675712</v>
      </c>
      <c r="AE38" s="8">
        <v>1252.4920154956294</v>
      </c>
      <c r="AF38" s="8">
        <v>40481.705234771965</v>
      </c>
      <c r="AG38" s="8">
        <v>44989.662442254754</v>
      </c>
      <c r="AH38" s="8">
        <v>1088846.745805982</v>
      </c>
      <c r="AI38" s="8">
        <v>62471.075414809733</v>
      </c>
      <c r="AJ38" s="8">
        <v>4509.2731841752593</v>
      </c>
      <c r="AK38" s="8">
        <v>19001.839540870591</v>
      </c>
      <c r="AL38" s="8">
        <v>32303.328112534542</v>
      </c>
      <c r="AM38" s="8">
        <v>0</v>
      </c>
      <c r="AN38" s="8">
        <v>10606.646191534808</v>
      </c>
      <c r="AO38" s="8">
        <v>29499.463495406384</v>
      </c>
      <c r="AP38" s="8">
        <v>0</v>
      </c>
      <c r="AQ38" s="8">
        <v>72696.920589808637</v>
      </c>
      <c r="AR38" s="8">
        <v>0</v>
      </c>
      <c r="AS38" s="8">
        <v>2650049.9452177631</v>
      </c>
      <c r="AT38" s="8">
        <v>2106967.6828231718</v>
      </c>
      <c r="AU38" s="8">
        <v>0</v>
      </c>
      <c r="AV38" s="8">
        <v>0</v>
      </c>
      <c r="AW38" s="8">
        <v>0</v>
      </c>
      <c r="AX38" s="8">
        <v>425743.89427690976</v>
      </c>
      <c r="AY38" s="10">
        <v>2532711.5771000814</v>
      </c>
      <c r="AZ38" s="8">
        <v>5182761.5223178444</v>
      </c>
      <c r="BA38" s="15">
        <v>27</v>
      </c>
      <c r="BB38" s="12"/>
    </row>
    <row r="39" spans="1:54" s="13" customFormat="1" x14ac:dyDescent="0.2">
      <c r="A39" s="8">
        <v>1292270.558984926</v>
      </c>
      <c r="B39" s="8">
        <v>52378.578530553736</v>
      </c>
      <c r="C39" s="8">
        <v>0</v>
      </c>
      <c r="D39" s="8">
        <v>34983.509063585865</v>
      </c>
      <c r="E39" s="8">
        <v>5492.925071727861</v>
      </c>
      <c r="F39" s="8">
        <v>0</v>
      </c>
      <c r="G39" s="8">
        <v>1385125.5716507935</v>
      </c>
      <c r="H39" s="14" t="s">
        <v>30</v>
      </c>
      <c r="I39" s="8">
        <v>0</v>
      </c>
      <c r="J39" s="8">
        <v>0</v>
      </c>
      <c r="K39" s="8">
        <v>0</v>
      </c>
      <c r="L39" s="8">
        <v>1896.3153510342163</v>
      </c>
      <c r="M39" s="8">
        <v>0</v>
      </c>
      <c r="N39" s="8">
        <v>2933.4832704627006</v>
      </c>
      <c r="O39" s="8">
        <v>12834.865399471339</v>
      </c>
      <c r="P39" s="8">
        <v>4551.5634437680192</v>
      </c>
      <c r="Q39" s="8">
        <v>797.72357739843062</v>
      </c>
      <c r="R39" s="8">
        <v>9461.2097548221191</v>
      </c>
      <c r="S39" s="8">
        <v>2743.1296801356343</v>
      </c>
      <c r="T39" s="8">
        <v>17614.273636385489</v>
      </c>
      <c r="U39" s="8">
        <v>15684.797410511186</v>
      </c>
      <c r="V39" s="8">
        <v>249.4316734114289</v>
      </c>
      <c r="W39" s="8">
        <v>5486.8037113104338</v>
      </c>
      <c r="X39" s="8">
        <v>2275.3126184260036</v>
      </c>
      <c r="Y39" s="8">
        <v>6036.8479051700906</v>
      </c>
      <c r="Z39" s="8">
        <v>5113.7828373848697</v>
      </c>
      <c r="AA39" s="8">
        <v>1317.096212141186</v>
      </c>
      <c r="AB39" s="8">
        <v>4681.0028997665559</v>
      </c>
      <c r="AC39" s="8">
        <v>230.25821393980408</v>
      </c>
      <c r="AD39" s="8">
        <v>2795.5092612400022</v>
      </c>
      <c r="AE39" s="8">
        <v>1597.600241833914</v>
      </c>
      <c r="AF39" s="8">
        <v>5779.8825293060654</v>
      </c>
      <c r="AG39" s="8">
        <v>7655.2319112862651</v>
      </c>
      <c r="AH39" s="8">
        <v>45807.596442487556</v>
      </c>
      <c r="AI39" s="8">
        <v>37490.911264752889</v>
      </c>
      <c r="AJ39" s="8">
        <v>90981.009649778483</v>
      </c>
      <c r="AK39" s="8">
        <v>38226.00340986353</v>
      </c>
      <c r="AL39" s="8">
        <v>105552.73054211192</v>
      </c>
      <c r="AM39" s="8">
        <v>0</v>
      </c>
      <c r="AN39" s="8">
        <v>19874.68238002084</v>
      </c>
      <c r="AO39" s="8">
        <v>4779.40096192683</v>
      </c>
      <c r="AP39" s="8">
        <v>0</v>
      </c>
      <c r="AQ39" s="8">
        <v>24638.869251131662</v>
      </c>
      <c r="AR39" s="8">
        <v>0</v>
      </c>
      <c r="AS39" s="8">
        <v>479087.32544127945</v>
      </c>
      <c r="AT39" s="8">
        <v>813781.65399900544</v>
      </c>
      <c r="AU39" s="8">
        <v>0</v>
      </c>
      <c r="AV39" s="8">
        <v>0</v>
      </c>
      <c r="AW39" s="8">
        <v>0</v>
      </c>
      <c r="AX39" s="8">
        <v>92256.59221050849</v>
      </c>
      <c r="AY39" s="10">
        <v>906038.24620951398</v>
      </c>
      <c r="AZ39" s="8">
        <v>1385125.5716507933</v>
      </c>
      <c r="BA39" s="15">
        <v>28</v>
      </c>
      <c r="BB39" s="12"/>
    </row>
    <row r="40" spans="1:54" s="13" customFormat="1" x14ac:dyDescent="0.2">
      <c r="A40" s="8">
        <v>1442519.9102173536</v>
      </c>
      <c r="B40" s="8">
        <v>95376.377071132971</v>
      </c>
      <c r="C40" s="8">
        <v>0</v>
      </c>
      <c r="D40" s="8">
        <v>3698.6300157699693</v>
      </c>
      <c r="E40" s="8">
        <v>33160.577068281578</v>
      </c>
      <c r="F40" s="8">
        <v>0</v>
      </c>
      <c r="G40" s="8">
        <v>1574755.4943725381</v>
      </c>
      <c r="H40" s="14" t="s">
        <v>31</v>
      </c>
      <c r="I40" s="8">
        <v>4006.7121305956098</v>
      </c>
      <c r="J40" s="8">
        <v>19712.601499351989</v>
      </c>
      <c r="K40" s="8">
        <v>0</v>
      </c>
      <c r="L40" s="8">
        <v>3202.4142763040936</v>
      </c>
      <c r="M40" s="8">
        <v>1755.8642061983733</v>
      </c>
      <c r="N40" s="8">
        <v>4822.7548021714319</v>
      </c>
      <c r="O40" s="8">
        <v>801.49651946802123</v>
      </c>
      <c r="P40" s="8">
        <v>1918.4571608606159</v>
      </c>
      <c r="Q40" s="8">
        <v>4955.0833661217112</v>
      </c>
      <c r="R40" s="8">
        <v>10299.11739998942</v>
      </c>
      <c r="S40" s="8">
        <v>5540.8997677776879</v>
      </c>
      <c r="T40" s="8">
        <v>2626.1552721160392</v>
      </c>
      <c r="U40" s="8">
        <v>17027.22550030913</v>
      </c>
      <c r="V40" s="8">
        <v>653.32318480989079</v>
      </c>
      <c r="W40" s="8">
        <v>9901.9890113529727</v>
      </c>
      <c r="X40" s="8">
        <v>1658.7495198938386</v>
      </c>
      <c r="Y40" s="8">
        <v>1651.59731750893</v>
      </c>
      <c r="Z40" s="8">
        <v>5495.9163228930183</v>
      </c>
      <c r="AA40" s="8">
        <v>3841.1218629040372</v>
      </c>
      <c r="AB40" s="8">
        <v>4334.7878903791907</v>
      </c>
      <c r="AC40" s="8">
        <v>1150.1268050740405</v>
      </c>
      <c r="AD40" s="8">
        <v>1024.8035422943719</v>
      </c>
      <c r="AE40" s="8">
        <v>1179.7168913482299</v>
      </c>
      <c r="AF40" s="8">
        <v>8235.8865857971141</v>
      </c>
      <c r="AG40" s="8">
        <v>15177.66275079052</v>
      </c>
      <c r="AH40" s="8">
        <v>7050.0965188563296</v>
      </c>
      <c r="AI40" s="8">
        <v>18875.672640375895</v>
      </c>
      <c r="AJ40" s="8">
        <v>601.59875359823684</v>
      </c>
      <c r="AK40" s="8">
        <v>62868.153054211914</v>
      </c>
      <c r="AL40" s="8">
        <v>39395.185550898212</v>
      </c>
      <c r="AM40" s="8">
        <v>0</v>
      </c>
      <c r="AN40" s="8">
        <v>5001.9815874209435</v>
      </c>
      <c r="AO40" s="8">
        <v>7284.4212723350302</v>
      </c>
      <c r="AP40" s="8">
        <v>0</v>
      </c>
      <c r="AQ40" s="8">
        <v>30860.308262867693</v>
      </c>
      <c r="AR40" s="8">
        <v>961552.77511305816</v>
      </c>
      <c r="AS40" s="8">
        <v>1264464.6563399327</v>
      </c>
      <c r="AT40" s="8">
        <v>273023.21176368435</v>
      </c>
      <c r="AU40" s="8">
        <v>0</v>
      </c>
      <c r="AV40" s="8">
        <v>0</v>
      </c>
      <c r="AW40" s="8">
        <v>0</v>
      </c>
      <c r="AX40" s="8">
        <v>37267.626268920911</v>
      </c>
      <c r="AY40" s="10">
        <v>310290.83803260524</v>
      </c>
      <c r="AZ40" s="8">
        <v>1574755.4943725381</v>
      </c>
      <c r="BA40" s="15">
        <v>29</v>
      </c>
      <c r="BB40" s="12"/>
    </row>
    <row r="41" spans="1:54" s="13" customFormat="1" x14ac:dyDescent="0.2">
      <c r="A41" s="8">
        <v>1557254.5416543128</v>
      </c>
      <c r="B41" s="8">
        <v>156854.80065936918</v>
      </c>
      <c r="C41" s="8">
        <v>0</v>
      </c>
      <c r="D41" s="8">
        <v>33027.171659133259</v>
      </c>
      <c r="E41" s="8">
        <v>25351.029068885102</v>
      </c>
      <c r="F41" s="8">
        <v>0</v>
      </c>
      <c r="G41" s="8">
        <v>1772487.5430417003</v>
      </c>
      <c r="H41" s="14" t="s">
        <v>32</v>
      </c>
      <c r="I41" s="8">
        <v>3767.936071530517</v>
      </c>
      <c r="J41" s="8">
        <v>64705.17987507111</v>
      </c>
      <c r="K41" s="8">
        <v>0</v>
      </c>
      <c r="L41" s="8">
        <v>0</v>
      </c>
      <c r="M41" s="8">
        <v>5540.7431749612333</v>
      </c>
      <c r="N41" s="8">
        <v>301341.52058748319</v>
      </c>
      <c r="O41" s="8">
        <v>13577.806303871481</v>
      </c>
      <c r="P41" s="8">
        <v>1079.285438724228</v>
      </c>
      <c r="Q41" s="8">
        <v>2978.3350450467615</v>
      </c>
      <c r="R41" s="8">
        <v>3354.7693767566375</v>
      </c>
      <c r="S41" s="8">
        <v>3877.8878195605566</v>
      </c>
      <c r="T41" s="8">
        <v>594.3388143913387</v>
      </c>
      <c r="U41" s="8">
        <v>48807.914909633997</v>
      </c>
      <c r="V41" s="8">
        <v>385.60900578129991</v>
      </c>
      <c r="W41" s="8">
        <v>13204.118560741337</v>
      </c>
      <c r="X41" s="8">
        <v>0</v>
      </c>
      <c r="Y41" s="8">
        <v>5966.4610022021143</v>
      </c>
      <c r="Z41" s="8">
        <v>224.18395492217286</v>
      </c>
      <c r="AA41" s="8">
        <v>19335.667667790283</v>
      </c>
      <c r="AB41" s="8">
        <v>12224.561921131484</v>
      </c>
      <c r="AC41" s="8">
        <v>1870.3598545622178</v>
      </c>
      <c r="AD41" s="8">
        <v>1880.9843981829993</v>
      </c>
      <c r="AE41" s="8">
        <v>1861.1952002466803</v>
      </c>
      <c r="AF41" s="8">
        <v>35247.71048993399</v>
      </c>
      <c r="AG41" s="8">
        <v>78757.982288378815</v>
      </c>
      <c r="AH41" s="8">
        <v>126488.64497834303</v>
      </c>
      <c r="AI41" s="8">
        <v>13364.333224532662</v>
      </c>
      <c r="AJ41" s="8">
        <v>327412.89120342478</v>
      </c>
      <c r="AK41" s="8">
        <v>147432.49433299244</v>
      </c>
      <c r="AL41" s="8">
        <v>49549.138649161076</v>
      </c>
      <c r="AM41" s="8">
        <v>44954.31290556318</v>
      </c>
      <c r="AN41" s="8">
        <v>12839.86102405734</v>
      </c>
      <c r="AO41" s="8">
        <v>7442.2499664493453</v>
      </c>
      <c r="AP41" s="8">
        <v>0</v>
      </c>
      <c r="AQ41" s="8">
        <v>159716.62405504112</v>
      </c>
      <c r="AR41" s="8">
        <v>0</v>
      </c>
      <c r="AS41" s="8">
        <v>1509785.1021004694</v>
      </c>
      <c r="AT41" s="8">
        <v>228111.97258213497</v>
      </c>
      <c r="AU41" s="8">
        <v>0</v>
      </c>
      <c r="AV41" s="8">
        <v>0</v>
      </c>
      <c r="AW41" s="8">
        <v>0</v>
      </c>
      <c r="AX41" s="8">
        <v>34590.468359096005</v>
      </c>
      <c r="AY41" s="10">
        <v>262702.44094123098</v>
      </c>
      <c r="AZ41" s="8">
        <v>1772487.5430417005</v>
      </c>
      <c r="BA41" s="15">
        <v>30</v>
      </c>
      <c r="BB41" s="12"/>
    </row>
    <row r="42" spans="1:54" s="13" customFormat="1" x14ac:dyDescent="0.2">
      <c r="A42" s="8">
        <v>1371066.8847162237</v>
      </c>
      <c r="B42" s="8">
        <v>0</v>
      </c>
      <c r="C42" s="8">
        <v>0</v>
      </c>
      <c r="D42" s="8">
        <v>3161.4399732397237</v>
      </c>
      <c r="E42" s="8">
        <v>2008.3273956426683</v>
      </c>
      <c r="F42" s="8">
        <v>0</v>
      </c>
      <c r="G42" s="8">
        <v>1376236.6520851061</v>
      </c>
      <c r="H42" s="14" t="s">
        <v>33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1376236.6520851061</v>
      </c>
      <c r="AU42" s="8">
        <v>0</v>
      </c>
      <c r="AV42" s="8">
        <v>0</v>
      </c>
      <c r="AW42" s="8">
        <v>0</v>
      </c>
      <c r="AX42" s="8">
        <v>0</v>
      </c>
      <c r="AY42" s="10">
        <v>1376236.6520851061</v>
      </c>
      <c r="AZ42" s="8">
        <v>1376236.6520851061</v>
      </c>
      <c r="BA42" s="15">
        <v>31</v>
      </c>
      <c r="BB42" s="12"/>
    </row>
    <row r="43" spans="1:54" s="13" customFormat="1" x14ac:dyDescent="0.2">
      <c r="A43" s="8">
        <v>1806315.9832983618</v>
      </c>
      <c r="B43" s="8">
        <v>74586.389903311952</v>
      </c>
      <c r="C43" s="8">
        <v>0</v>
      </c>
      <c r="D43" s="8">
        <v>49453.410037924259</v>
      </c>
      <c r="E43" s="8">
        <v>19589.770279679702</v>
      </c>
      <c r="F43" s="8">
        <v>0</v>
      </c>
      <c r="G43" s="8">
        <v>1949945.5535192776</v>
      </c>
      <c r="H43" s="14" t="s">
        <v>34</v>
      </c>
      <c r="I43" s="8">
        <v>0</v>
      </c>
      <c r="J43" s="8">
        <v>0</v>
      </c>
      <c r="K43" s="8">
        <v>0</v>
      </c>
      <c r="L43" s="8">
        <v>10947.537031425592</v>
      </c>
      <c r="M43" s="8">
        <v>0</v>
      </c>
      <c r="N43" s="8">
        <v>23544.272743185753</v>
      </c>
      <c r="O43" s="8">
        <v>952.83487373905245</v>
      </c>
      <c r="P43" s="8">
        <v>325.10861294914457</v>
      </c>
      <c r="Q43" s="8">
        <v>3076.8942579007407</v>
      </c>
      <c r="R43" s="8">
        <v>4421.6194210509084</v>
      </c>
      <c r="S43" s="8">
        <v>1436.6343532120595</v>
      </c>
      <c r="T43" s="8">
        <v>8629.4222112931529</v>
      </c>
      <c r="U43" s="8">
        <v>31328.674018213969</v>
      </c>
      <c r="V43" s="8">
        <v>187.57906989321478</v>
      </c>
      <c r="W43" s="8">
        <v>983.89620028019317</v>
      </c>
      <c r="X43" s="8">
        <v>9324.5715049680912</v>
      </c>
      <c r="Y43" s="8">
        <v>1233.6764298485039</v>
      </c>
      <c r="Z43" s="8">
        <v>11186.464954872066</v>
      </c>
      <c r="AA43" s="8">
        <v>4565.6626261878237</v>
      </c>
      <c r="AB43" s="8">
        <v>10590.61460197518</v>
      </c>
      <c r="AC43" s="8">
        <v>0</v>
      </c>
      <c r="AD43" s="8">
        <v>3581.9803237337951</v>
      </c>
      <c r="AE43" s="8">
        <v>754.2377960781962</v>
      </c>
      <c r="AF43" s="8">
        <v>7064.0530766615548</v>
      </c>
      <c r="AG43" s="8">
        <v>4753.1591097749042</v>
      </c>
      <c r="AH43" s="8">
        <v>6473.767891402842</v>
      </c>
      <c r="AI43" s="8">
        <v>246640.37793889418</v>
      </c>
      <c r="AJ43" s="8">
        <v>12001.067928925964</v>
      </c>
      <c r="AK43" s="8">
        <v>38157.820137785027</v>
      </c>
      <c r="AL43" s="8">
        <v>30592.813532148415</v>
      </c>
      <c r="AM43" s="8">
        <v>0</v>
      </c>
      <c r="AN43" s="8">
        <v>8351.5653557178484</v>
      </c>
      <c r="AO43" s="8">
        <v>837.66487115254154</v>
      </c>
      <c r="AP43" s="8">
        <v>0</v>
      </c>
      <c r="AQ43" s="8">
        <v>18106.245082371017</v>
      </c>
      <c r="AR43" s="8">
        <v>0</v>
      </c>
      <c r="AS43" s="8">
        <v>500050.2159556417</v>
      </c>
      <c r="AT43" s="8">
        <v>1439612.1096460628</v>
      </c>
      <c r="AU43" s="8">
        <v>0</v>
      </c>
      <c r="AV43" s="8">
        <v>0</v>
      </c>
      <c r="AW43" s="8">
        <v>0</v>
      </c>
      <c r="AX43" s="8">
        <v>10283.227917573096</v>
      </c>
      <c r="AY43" s="10">
        <v>1449895.337563636</v>
      </c>
      <c r="AZ43" s="8">
        <v>1949945.5535192776</v>
      </c>
      <c r="BA43" s="15">
        <v>32</v>
      </c>
      <c r="BB43" s="12"/>
    </row>
    <row r="44" spans="1:54" s="13" customFormat="1" x14ac:dyDescent="0.2">
      <c r="A44" s="8">
        <v>1927744.2292569238</v>
      </c>
      <c r="B44" s="8">
        <v>262560.3004442887</v>
      </c>
      <c r="C44" s="8">
        <v>0</v>
      </c>
      <c r="D44" s="8">
        <v>45872.48069411629</v>
      </c>
      <c r="E44" s="8">
        <v>14601.542903156662</v>
      </c>
      <c r="F44" s="8">
        <v>0</v>
      </c>
      <c r="G44" s="8">
        <v>2250778.5532984855</v>
      </c>
      <c r="H44" s="14" t="s">
        <v>35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13517.384324493281</v>
      </c>
      <c r="O44" s="8">
        <v>1851.3906024942687</v>
      </c>
      <c r="P44" s="8">
        <v>6091.9132856984343</v>
      </c>
      <c r="Q44" s="8">
        <v>1205.5470596628829</v>
      </c>
      <c r="R44" s="8">
        <v>4414.7817814359541</v>
      </c>
      <c r="S44" s="8">
        <v>1903.1973896618592</v>
      </c>
      <c r="T44" s="8">
        <v>3150.148179350183</v>
      </c>
      <c r="U44" s="8">
        <v>16788.938536114565</v>
      </c>
      <c r="V44" s="8">
        <v>197.44553299102259</v>
      </c>
      <c r="W44" s="8">
        <v>5306.0141857099679</v>
      </c>
      <c r="X44" s="8">
        <v>0</v>
      </c>
      <c r="Y44" s="8">
        <v>837.28526195856114</v>
      </c>
      <c r="Z44" s="8">
        <v>0</v>
      </c>
      <c r="AA44" s="8">
        <v>2767.7602472839867</v>
      </c>
      <c r="AB44" s="8">
        <v>891.57591174008257</v>
      </c>
      <c r="AC44" s="8">
        <v>0</v>
      </c>
      <c r="AD44" s="8">
        <v>879.47727668504069</v>
      </c>
      <c r="AE44" s="8">
        <v>1969.7589599784196</v>
      </c>
      <c r="AF44" s="8">
        <v>0</v>
      </c>
      <c r="AG44" s="8">
        <v>4504.8721885015684</v>
      </c>
      <c r="AH44" s="8">
        <v>36555.972407962749</v>
      </c>
      <c r="AI44" s="8">
        <v>19224.852483935923</v>
      </c>
      <c r="AJ44" s="8">
        <v>68636.231817277367</v>
      </c>
      <c r="AK44" s="8">
        <v>20442.532123461777</v>
      </c>
      <c r="AL44" s="8">
        <v>6830.0502748714625</v>
      </c>
      <c r="AM44" s="8">
        <v>0</v>
      </c>
      <c r="AN44" s="8">
        <v>202.87011944338121</v>
      </c>
      <c r="AO44" s="8">
        <v>0</v>
      </c>
      <c r="AP44" s="8">
        <v>0</v>
      </c>
      <c r="AQ44" s="8">
        <v>59246.237949762275</v>
      </c>
      <c r="AR44" s="8">
        <v>0</v>
      </c>
      <c r="AS44" s="8">
        <v>277416.23790047504</v>
      </c>
      <c r="AT44" s="8">
        <v>1713322.7546619175</v>
      </c>
      <c r="AU44" s="8">
        <v>0</v>
      </c>
      <c r="AV44" s="8">
        <v>0</v>
      </c>
      <c r="AW44" s="8">
        <v>0</v>
      </c>
      <c r="AX44" s="8">
        <v>260039.56073609306</v>
      </c>
      <c r="AY44" s="10">
        <v>1973362.3153980104</v>
      </c>
      <c r="AZ44" s="8">
        <v>2250778.5532984855</v>
      </c>
      <c r="BA44" s="15">
        <v>33</v>
      </c>
      <c r="BB44" s="12"/>
    </row>
    <row r="45" spans="1:54" s="13" customFormat="1" x14ac:dyDescent="0.2">
      <c r="A45" s="8">
        <v>133016.2730580277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133016.2730580277</v>
      </c>
      <c r="H45" s="14" t="s">
        <v>36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133016.2730580277</v>
      </c>
      <c r="AU45" s="8">
        <v>0</v>
      </c>
      <c r="AV45" s="8">
        <v>0</v>
      </c>
      <c r="AW45" s="8">
        <v>0</v>
      </c>
      <c r="AX45" s="8">
        <v>0</v>
      </c>
      <c r="AY45" s="10">
        <v>133016.2730580277</v>
      </c>
      <c r="AZ45" s="8">
        <v>133016.2730580277</v>
      </c>
      <c r="BA45" s="15">
        <v>34</v>
      </c>
      <c r="BB45" s="12"/>
    </row>
    <row r="46" spans="1:54" s="13" customFormat="1" x14ac:dyDescent="0.2">
      <c r="A46" s="8">
        <v>3457822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3457822</v>
      </c>
      <c r="H46" s="14" t="s">
        <v>37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254295</v>
      </c>
      <c r="AU46" s="8">
        <v>3203527</v>
      </c>
      <c r="AV46" s="8">
        <v>0</v>
      </c>
      <c r="AW46" s="8">
        <v>0</v>
      </c>
      <c r="AX46" s="8">
        <v>0</v>
      </c>
      <c r="AY46" s="10">
        <v>3457822</v>
      </c>
      <c r="AZ46" s="8">
        <v>3457822</v>
      </c>
      <c r="BA46" s="15">
        <v>35</v>
      </c>
      <c r="BB46" s="12"/>
    </row>
    <row r="47" spans="1:54" s="13" customFormat="1" x14ac:dyDescent="0.2">
      <c r="A47" s="8">
        <v>0</v>
      </c>
      <c r="B47" s="8">
        <v>19112.320458725233</v>
      </c>
      <c r="C47" s="8">
        <v>0</v>
      </c>
      <c r="D47" s="8">
        <v>0</v>
      </c>
      <c r="E47" s="8">
        <v>0</v>
      </c>
      <c r="F47" s="8">
        <v>0</v>
      </c>
      <c r="G47" s="8">
        <v>19112.320458725233</v>
      </c>
      <c r="H47" s="14" t="s">
        <v>52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39403.860764391051</v>
      </c>
      <c r="AR47" s="8">
        <v>0</v>
      </c>
      <c r="AS47" s="8">
        <v>39403.860764391051</v>
      </c>
      <c r="AT47" s="8">
        <v>-54723.784509924473</v>
      </c>
      <c r="AU47" s="8">
        <v>0</v>
      </c>
      <c r="AV47" s="8">
        <v>0</v>
      </c>
      <c r="AW47" s="8">
        <v>0</v>
      </c>
      <c r="AX47" s="8">
        <v>34432.244204258655</v>
      </c>
      <c r="AY47" s="10">
        <v>-20291.540305665818</v>
      </c>
      <c r="AZ47" s="8">
        <v>19112.320458725233</v>
      </c>
      <c r="BA47" s="15">
        <v>36</v>
      </c>
      <c r="BB47" s="12"/>
    </row>
    <row r="48" spans="1:54" s="13" customFormat="1" x14ac:dyDescent="0.2">
      <c r="A48" s="8">
        <v>50346263.450419784</v>
      </c>
      <c r="B48" s="8">
        <v>9197255.5654193405</v>
      </c>
      <c r="C48" s="8">
        <v>476648.66708285443</v>
      </c>
      <c r="D48" s="8">
        <v>844891.18626860669</v>
      </c>
      <c r="E48" s="8">
        <v>1488597.5275352416</v>
      </c>
      <c r="F48" s="8">
        <v>0</v>
      </c>
      <c r="G48" s="8">
        <v>62353656.396725826</v>
      </c>
      <c r="H48" s="16" t="s">
        <v>53</v>
      </c>
      <c r="I48" s="8">
        <v>411391.53940205858</v>
      </c>
      <c r="J48" s="8">
        <v>493518.45942651562</v>
      </c>
      <c r="K48" s="8">
        <v>2869.2359163955894</v>
      </c>
      <c r="L48" s="8">
        <v>596485.17977255723</v>
      </c>
      <c r="M48" s="8">
        <v>93794.668162134738</v>
      </c>
      <c r="N48" s="8">
        <v>1522236.4950463001</v>
      </c>
      <c r="O48" s="8">
        <v>377640.09263346769</v>
      </c>
      <c r="P48" s="8">
        <v>1406084.4101584691</v>
      </c>
      <c r="Q48" s="8">
        <v>316822.03905554919</v>
      </c>
      <c r="R48" s="8">
        <v>1440048.7780717968</v>
      </c>
      <c r="S48" s="8">
        <v>489178.91275551886</v>
      </c>
      <c r="T48" s="8">
        <v>1622152.1966788869</v>
      </c>
      <c r="U48" s="8">
        <v>896912.17513202096</v>
      </c>
      <c r="V48" s="8">
        <v>39980.747871832595</v>
      </c>
      <c r="W48" s="8">
        <v>691377.31821256503</v>
      </c>
      <c r="X48" s="8">
        <v>645141.27992486244</v>
      </c>
      <c r="Y48" s="8">
        <v>217360.00487635215</v>
      </c>
      <c r="Z48" s="8">
        <v>318065.49933038111</v>
      </c>
      <c r="AA48" s="8">
        <v>1025312.6127298442</v>
      </c>
      <c r="AB48" s="8">
        <v>422208.5109418662</v>
      </c>
      <c r="AC48" s="8">
        <v>327491.47074986954</v>
      </c>
      <c r="AD48" s="8">
        <v>151277.98020521938</v>
      </c>
      <c r="AE48" s="8">
        <v>286726.31822108442</v>
      </c>
      <c r="AF48" s="8">
        <v>338759.50795835565</v>
      </c>
      <c r="AG48" s="8">
        <v>1434542.3248840843</v>
      </c>
      <c r="AH48" s="8">
        <v>1538206.6531366098</v>
      </c>
      <c r="AI48" s="8">
        <v>2018471.5899495222</v>
      </c>
      <c r="AJ48" s="8">
        <v>568461.22167773545</v>
      </c>
      <c r="AK48" s="8">
        <v>486276.86742795812</v>
      </c>
      <c r="AL48" s="8">
        <v>482219.58453677909</v>
      </c>
      <c r="AM48" s="8">
        <v>91777.863905563179</v>
      </c>
      <c r="AN48" s="8">
        <v>789348.36524493841</v>
      </c>
      <c r="AO48" s="8">
        <v>1134918.0292515391</v>
      </c>
      <c r="AP48" s="8">
        <v>0</v>
      </c>
      <c r="AQ48" s="8">
        <v>993763</v>
      </c>
      <c r="AR48" s="8">
        <v>961552.77511305816</v>
      </c>
      <c r="AS48" s="8">
        <v>24632373.708361693</v>
      </c>
      <c r="AT48" s="8">
        <v>20332797.12188318</v>
      </c>
      <c r="AU48" s="8">
        <v>3203527</v>
      </c>
      <c r="AV48" s="8">
        <v>4232114.4761463301</v>
      </c>
      <c r="AW48" s="8">
        <v>-278545.51437664888</v>
      </c>
      <c r="AX48" s="8">
        <v>10231389.604661301</v>
      </c>
      <c r="AY48" s="10">
        <v>37721282.688314162</v>
      </c>
      <c r="AZ48" s="8">
        <v>62353656.396675855</v>
      </c>
      <c r="BA48" s="17"/>
      <c r="BB48" s="12"/>
    </row>
    <row r="49" spans="1:54" s="13" customFormat="1" ht="9.9499999999999993" customHeight="1" x14ac:dyDescent="0.2">
      <c r="A49" s="18" t="s">
        <v>54</v>
      </c>
      <c r="B49" s="12"/>
      <c r="C49" s="12"/>
      <c r="D49" s="12"/>
      <c r="E49" s="12"/>
      <c r="F49" s="12"/>
      <c r="G49" s="12"/>
      <c r="H49" s="16" t="s">
        <v>55</v>
      </c>
      <c r="I49" s="8">
        <v>2121353.2820073999</v>
      </c>
      <c r="J49" s="8">
        <v>1256330.7550346514</v>
      </c>
      <c r="K49" s="8">
        <v>43165.016210067479</v>
      </c>
      <c r="L49" s="8">
        <v>1745649.4311088177</v>
      </c>
      <c r="M49" s="8">
        <v>351445.01142964576</v>
      </c>
      <c r="N49" s="8">
        <v>3470512.3356892616</v>
      </c>
      <c r="O49" s="8">
        <v>1600624.5384085292</v>
      </c>
      <c r="P49" s="8">
        <v>1858192.7045008743</v>
      </c>
      <c r="Q49" s="8">
        <v>529958.62584922335</v>
      </c>
      <c r="R49" s="8">
        <v>1919761.2731685755</v>
      </c>
      <c r="S49" s="8">
        <v>727668.93331198453</v>
      </c>
      <c r="T49" s="8">
        <v>2030765.2858301394</v>
      </c>
      <c r="U49" s="8">
        <v>1636963.2638442109</v>
      </c>
      <c r="V49" s="8">
        <v>65638.250959333425</v>
      </c>
      <c r="W49" s="8">
        <v>1145125.2998198976</v>
      </c>
      <c r="X49" s="8">
        <v>954453.22740459442</v>
      </c>
      <c r="Y49" s="8">
        <v>349321.11763474112</v>
      </c>
      <c r="Z49" s="8">
        <v>544955.72522724676</v>
      </c>
      <c r="AA49" s="8">
        <v>1599654.215484008</v>
      </c>
      <c r="AB49" s="8">
        <v>862220.90349775867</v>
      </c>
      <c r="AC49" s="8">
        <v>370502.37321548676</v>
      </c>
      <c r="AD49" s="8">
        <v>203300.17930403684</v>
      </c>
      <c r="AE49" s="8">
        <v>426770.02192404639</v>
      </c>
      <c r="AF49" s="8">
        <v>898347.5315323273</v>
      </c>
      <c r="AG49" s="8">
        <v>2305340.7030385984</v>
      </c>
      <c r="AH49" s="8">
        <v>3876638.2298780363</v>
      </c>
      <c r="AI49" s="8">
        <v>4361003.9746301919</v>
      </c>
      <c r="AJ49" s="8">
        <v>1292270.558984926</v>
      </c>
      <c r="AK49" s="8">
        <v>1461957.1474841044</v>
      </c>
      <c r="AL49" s="8">
        <v>1490102.2390348632</v>
      </c>
      <c r="AM49" s="8">
        <v>1371066.8847162237</v>
      </c>
      <c r="AN49" s="8">
        <v>1862129.5096423128</v>
      </c>
      <c r="AO49" s="8">
        <v>1927006.6274070535</v>
      </c>
      <c r="AP49" s="8">
        <v>133016.2730580277</v>
      </c>
      <c r="AQ49" s="8">
        <v>3553052</v>
      </c>
      <c r="AR49" s="8">
        <v>0</v>
      </c>
      <c r="AS49" s="8">
        <v>50346263.450271197</v>
      </c>
      <c r="BB49" s="12"/>
    </row>
    <row r="50" spans="1:54" s="13" customFormat="1" ht="9.9499999999999993" customHeight="1" x14ac:dyDescent="0.2">
      <c r="A50" s="19" t="s">
        <v>56</v>
      </c>
      <c r="B50" s="20"/>
      <c r="C50" s="20"/>
      <c r="D50" s="20"/>
      <c r="E50" s="20"/>
      <c r="F50" s="20"/>
      <c r="G50" s="20"/>
      <c r="H50" s="21" t="s">
        <v>57</v>
      </c>
      <c r="I50" s="8">
        <v>1709961.7426053414</v>
      </c>
      <c r="J50" s="8">
        <v>762812.29560813576</v>
      </c>
      <c r="K50" s="8">
        <v>40295.780293671887</v>
      </c>
      <c r="L50" s="8">
        <v>1149164.2513362605</v>
      </c>
      <c r="M50" s="8">
        <v>257650.34326751102</v>
      </c>
      <c r="N50" s="8">
        <v>1948275.8406429614</v>
      </c>
      <c r="O50" s="8">
        <v>1222984.4457750616</v>
      </c>
      <c r="P50" s="8">
        <v>452108.29434240516</v>
      </c>
      <c r="Q50" s="8">
        <v>213136.58679367416</v>
      </c>
      <c r="R50" s="8">
        <v>479712.49509677873</v>
      </c>
      <c r="S50" s="8">
        <v>238490.02055646566</v>
      </c>
      <c r="T50" s="8">
        <v>408613.08915125253</v>
      </c>
      <c r="U50" s="8">
        <v>740051.08871218993</v>
      </c>
      <c r="V50" s="8">
        <v>25657.503087500831</v>
      </c>
      <c r="W50" s="8">
        <v>453747.98160733259</v>
      </c>
      <c r="X50" s="8">
        <v>309311.94747973199</v>
      </c>
      <c r="Y50" s="8">
        <v>131961.11275838898</v>
      </c>
      <c r="Z50" s="8">
        <v>226890.22589686565</v>
      </c>
      <c r="AA50" s="8">
        <v>574341.60275416379</v>
      </c>
      <c r="AB50" s="8">
        <v>440012.39255589247</v>
      </c>
      <c r="AC50" s="8">
        <v>43010.902465617226</v>
      </c>
      <c r="AD50" s="8">
        <v>52022.199098817451</v>
      </c>
      <c r="AE50" s="8">
        <v>140043.70370296197</v>
      </c>
      <c r="AF50" s="8">
        <v>559588.02357397159</v>
      </c>
      <c r="AG50" s="8">
        <v>870798.37815451412</v>
      </c>
      <c r="AH50" s="8">
        <v>2338431.5767414263</v>
      </c>
      <c r="AI50" s="8">
        <v>2342532.3846806698</v>
      </c>
      <c r="AJ50" s="8">
        <v>723809.33730719052</v>
      </c>
      <c r="AK50" s="8">
        <v>975680.28005614621</v>
      </c>
      <c r="AL50" s="8">
        <v>1007882.6544980841</v>
      </c>
      <c r="AM50" s="8">
        <v>1279289.0208106604</v>
      </c>
      <c r="AN50" s="8">
        <v>1072781.1443973742</v>
      </c>
      <c r="AO50" s="8">
        <v>792088.59815551434</v>
      </c>
      <c r="AP50" s="8">
        <v>133016.2730580277</v>
      </c>
      <c r="AQ50" s="8">
        <v>2559289</v>
      </c>
      <c r="AR50" s="8">
        <v>-961552.77511305816</v>
      </c>
      <c r="AS50" s="8">
        <v>25713889.741909504</v>
      </c>
      <c r="BB50" s="12"/>
    </row>
    <row r="51" spans="1:54" s="13" customFormat="1" ht="9.9499999999999993" customHeight="1" x14ac:dyDescent="0.2">
      <c r="A51" s="22"/>
      <c r="B51" s="20"/>
      <c r="C51" s="20"/>
      <c r="D51" s="20"/>
      <c r="E51" s="20"/>
      <c r="F51" s="20"/>
      <c r="G51" s="20"/>
      <c r="H51" s="23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5"/>
      <c r="AS51" s="24"/>
      <c r="BB51" s="12"/>
    </row>
    <row r="52" spans="1:54" s="28" customFormat="1" ht="10.5" customHeight="1" x14ac:dyDescent="0.2">
      <c r="A52" s="38" t="s">
        <v>58</v>
      </c>
      <c r="B52" s="39"/>
      <c r="C52" s="39"/>
      <c r="D52" s="39"/>
      <c r="E52" s="39"/>
      <c r="F52" s="39"/>
      <c r="G52" s="39"/>
      <c r="H52" s="26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S52" s="27"/>
      <c r="AT52" s="29"/>
      <c r="AU52" s="30"/>
      <c r="AV52" s="30"/>
      <c r="AW52" s="30"/>
      <c r="AX52" s="30"/>
      <c r="AY52" s="30"/>
      <c r="AZ52" s="31"/>
      <c r="BA52" s="31"/>
      <c r="BB52" s="32"/>
    </row>
    <row r="53" spans="1:54" s="28" customFormat="1" ht="10.5" customHeight="1" x14ac:dyDescent="0.2">
      <c r="A53" s="38" t="s">
        <v>59</v>
      </c>
      <c r="B53" s="38"/>
      <c r="C53" s="38"/>
      <c r="D53" s="38"/>
      <c r="E53" s="38"/>
      <c r="F53" s="38"/>
      <c r="G53" s="38"/>
      <c r="H53" s="38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9"/>
      <c r="AU53" s="30"/>
      <c r="AV53" s="30"/>
      <c r="AW53" s="30"/>
      <c r="AX53" s="30"/>
      <c r="AY53" s="30"/>
      <c r="AZ53" s="31"/>
      <c r="BA53" s="31"/>
      <c r="BB53" s="32"/>
    </row>
    <row r="54" spans="1:54" s="28" customFormat="1" ht="10.5" customHeight="1" x14ac:dyDescent="0.2">
      <c r="A54" s="38" t="s">
        <v>60</v>
      </c>
      <c r="B54" s="38"/>
      <c r="C54" s="38"/>
      <c r="D54" s="38"/>
      <c r="E54" s="38"/>
      <c r="F54" s="38"/>
      <c r="G54" s="38"/>
      <c r="H54" s="38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2"/>
      <c r="AS54" s="33"/>
      <c r="AT54" s="40" t="s">
        <v>61</v>
      </c>
      <c r="AU54" s="41"/>
      <c r="AV54" s="41"/>
      <c r="AW54" s="41"/>
      <c r="AX54" s="41"/>
      <c r="AY54" s="41"/>
      <c r="AZ54" s="36">
        <f>+(AT48+AU48)+AV48+AW48+AX48-B48</f>
        <v>28524027.122894824</v>
      </c>
      <c r="BA54" s="37"/>
      <c r="BB54" s="32"/>
    </row>
    <row r="55" spans="1:54" s="28" customFormat="1" ht="10.5" customHeight="1" x14ac:dyDescent="0.2">
      <c r="A55" s="38" t="s">
        <v>62</v>
      </c>
      <c r="B55" s="38"/>
      <c r="C55" s="38"/>
      <c r="D55" s="38"/>
      <c r="E55" s="38"/>
      <c r="F55" s="38"/>
      <c r="G55" s="38"/>
      <c r="H55" s="26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2"/>
      <c r="AS55" s="33"/>
      <c r="AT55" s="42" t="s">
        <v>63</v>
      </c>
      <c r="AU55" s="43"/>
      <c r="AV55" s="43"/>
      <c r="AW55" s="43"/>
      <c r="AX55" s="43"/>
      <c r="AY55" s="43"/>
      <c r="AZ55" s="44">
        <f>+AS50+C48+D48+E48</f>
        <v>28524027.122796204</v>
      </c>
      <c r="BA55" s="45"/>
      <c r="BB55" s="32"/>
    </row>
    <row r="56" spans="1:54" s="28" customFormat="1" ht="10.5" customHeight="1" x14ac:dyDescent="0.2">
      <c r="A56" s="38" t="s">
        <v>64</v>
      </c>
      <c r="B56" s="38"/>
      <c r="C56" s="38"/>
      <c r="D56" s="38"/>
      <c r="E56" s="38"/>
      <c r="F56" s="38"/>
      <c r="G56" s="38"/>
      <c r="H56" s="26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2"/>
      <c r="AS56" s="33"/>
      <c r="AT56" s="46" t="s">
        <v>65</v>
      </c>
      <c r="AU56" s="47"/>
      <c r="AV56" s="47"/>
      <c r="AW56" s="47"/>
      <c r="AX56" s="47"/>
      <c r="AY56" s="47"/>
      <c r="AZ56" s="48">
        <f>+A48+C48+D48+E48-AS48</f>
        <v>28524027.122944795</v>
      </c>
      <c r="BA56" s="49"/>
      <c r="BB56" s="32"/>
    </row>
    <row r="57" spans="1:54" s="28" customFormat="1" ht="10.5" customHeight="1" x14ac:dyDescent="0.2">
      <c r="A57" s="38" t="s">
        <v>66</v>
      </c>
      <c r="B57" s="38"/>
      <c r="C57" s="38"/>
      <c r="D57" s="38"/>
      <c r="E57" s="38"/>
      <c r="F57" s="38"/>
      <c r="G57" s="38"/>
      <c r="H57" s="38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2"/>
      <c r="AS57" s="33"/>
      <c r="AT57" s="29"/>
      <c r="AU57" s="30"/>
      <c r="AV57" s="30"/>
      <c r="AW57" s="30"/>
      <c r="AX57" s="30"/>
      <c r="AY57" s="30"/>
      <c r="AZ57" s="31"/>
      <c r="BA57" s="31"/>
      <c r="BB57" s="32"/>
    </row>
    <row r="58" spans="1:54" s="13" customFormat="1" x14ac:dyDescent="0.2">
      <c r="H58" s="34"/>
    </row>
    <row r="59" spans="1:54" s="13" customFormat="1" x14ac:dyDescent="0.2">
      <c r="H59" s="34"/>
    </row>
    <row r="60" spans="1:54" s="13" customFormat="1" x14ac:dyDescent="0.2"/>
    <row r="61" spans="1:54" s="13" customFormat="1" x14ac:dyDescent="0.2"/>
    <row r="62" spans="1:54" s="13" customFormat="1" x14ac:dyDescent="0.2"/>
    <row r="63" spans="1:54" s="13" customFormat="1" x14ac:dyDescent="0.2"/>
    <row r="64" spans="1:54" s="13" customFormat="1" x14ac:dyDescent="0.2"/>
    <row r="65" s="13" customFormat="1" x14ac:dyDescent="0.2"/>
    <row r="66" s="13" customFormat="1" x14ac:dyDescent="0.2"/>
    <row r="67" s="13" customFormat="1" x14ac:dyDescent="0.2"/>
    <row r="68" s="13" customFormat="1" x14ac:dyDescent="0.2"/>
    <row r="69" s="13" customFormat="1" x14ac:dyDescent="0.2"/>
    <row r="70" s="13" customFormat="1" x14ac:dyDescent="0.2"/>
    <row r="71" s="13" customFormat="1" x14ac:dyDescent="0.2"/>
    <row r="72" s="13" customFormat="1" x14ac:dyDescent="0.2"/>
    <row r="73" s="13" customFormat="1" x14ac:dyDescent="0.2"/>
    <row r="74" s="13" customFormat="1" x14ac:dyDescent="0.2"/>
    <row r="75" s="13" customFormat="1" x14ac:dyDescent="0.2"/>
    <row r="76" s="13" customFormat="1" x14ac:dyDescent="0.2"/>
    <row r="77" s="13" customFormat="1" x14ac:dyDescent="0.2"/>
    <row r="78" s="13" customFormat="1" x14ac:dyDescent="0.2"/>
    <row r="79" s="13" customFormat="1" x14ac:dyDescent="0.2"/>
    <row r="80" s="13" customFormat="1" x14ac:dyDescent="0.2"/>
    <row r="81" s="13" customFormat="1" x14ac:dyDescent="0.2"/>
    <row r="82" s="13" customFormat="1" x14ac:dyDescent="0.2"/>
    <row r="83" s="13" customFormat="1" x14ac:dyDescent="0.2"/>
    <row r="84" s="13" customFormat="1" x14ac:dyDescent="0.2"/>
    <row r="85" s="13" customFormat="1" x14ac:dyDescent="0.2"/>
    <row r="86" s="13" customFormat="1" x14ac:dyDescent="0.2"/>
    <row r="87" s="13" customFormat="1" x14ac:dyDescent="0.2"/>
    <row r="88" s="13" customFormat="1" x14ac:dyDescent="0.2"/>
    <row r="89" s="13" customFormat="1" x14ac:dyDescent="0.2"/>
    <row r="90" s="13" customFormat="1" x14ac:dyDescent="0.2"/>
    <row r="91" s="13" customFormat="1" x14ac:dyDescent="0.2"/>
    <row r="92" s="13" customFormat="1" x14ac:dyDescent="0.2"/>
    <row r="93" s="13" customFormat="1" x14ac:dyDescent="0.2"/>
    <row r="94" s="13" customFormat="1" x14ac:dyDescent="0.2"/>
    <row r="95" s="13" customFormat="1" x14ac:dyDescent="0.2"/>
    <row r="96" s="13" customFormat="1" x14ac:dyDescent="0.2"/>
    <row r="97" s="13" customFormat="1" x14ac:dyDescent="0.2"/>
    <row r="98" s="13" customFormat="1" x14ac:dyDescent="0.2"/>
    <row r="99" s="13" customFormat="1" x14ac:dyDescent="0.2"/>
    <row r="100" s="13" customFormat="1" x14ac:dyDescent="0.2"/>
    <row r="101" s="13" customFormat="1" x14ac:dyDescent="0.2"/>
    <row r="102" s="13" customFormat="1" x14ac:dyDescent="0.2"/>
    <row r="103" s="13" customFormat="1" x14ac:dyDescent="0.2"/>
    <row r="104" s="13" customFormat="1" x14ac:dyDescent="0.2"/>
    <row r="105" s="13" customFormat="1" x14ac:dyDescent="0.2"/>
    <row r="106" s="13" customFormat="1" x14ac:dyDescent="0.2"/>
    <row r="107" s="13" customFormat="1" x14ac:dyDescent="0.2"/>
    <row r="108" s="13" customFormat="1" x14ac:dyDescent="0.2"/>
    <row r="109" s="13" customFormat="1" x14ac:dyDescent="0.2"/>
    <row r="110" s="13" customFormat="1" x14ac:dyDescent="0.2"/>
    <row r="111" s="13" customFormat="1" x14ac:dyDescent="0.2"/>
    <row r="112" s="13" customFormat="1" x14ac:dyDescent="0.2"/>
    <row r="113" s="13" customFormat="1" x14ac:dyDescent="0.2"/>
    <row r="114" s="13" customFormat="1" x14ac:dyDescent="0.2"/>
    <row r="115" s="13" customFormat="1" x14ac:dyDescent="0.2"/>
    <row r="116" s="13" customFormat="1" x14ac:dyDescent="0.2"/>
    <row r="117" s="13" customFormat="1" x14ac:dyDescent="0.2"/>
    <row r="118" s="13" customFormat="1" x14ac:dyDescent="0.2"/>
    <row r="119" s="13" customFormat="1" x14ac:dyDescent="0.2"/>
    <row r="120" s="13" customFormat="1" x14ac:dyDescent="0.2"/>
    <row r="121" s="13" customFormat="1" x14ac:dyDescent="0.2"/>
    <row r="122" s="13" customFormat="1" x14ac:dyDescent="0.2"/>
    <row r="123" s="13" customFormat="1" x14ac:dyDescent="0.2"/>
    <row r="124" s="13" customFormat="1" x14ac:dyDescent="0.2"/>
    <row r="125" s="13" customFormat="1" x14ac:dyDescent="0.2"/>
    <row r="126" s="13" customFormat="1" x14ac:dyDescent="0.2"/>
    <row r="127" s="13" customFormat="1" x14ac:dyDescent="0.2"/>
    <row r="128" s="13" customFormat="1" x14ac:dyDescent="0.2"/>
    <row r="129" s="13" customFormat="1" x14ac:dyDescent="0.2"/>
    <row r="130" s="13" customFormat="1" x14ac:dyDescent="0.2"/>
    <row r="131" s="13" customFormat="1" x14ac:dyDescent="0.2"/>
    <row r="132" s="13" customFormat="1" x14ac:dyDescent="0.2"/>
    <row r="133" s="13" customFormat="1" x14ac:dyDescent="0.2"/>
    <row r="134" s="13" customFormat="1" x14ac:dyDescent="0.2"/>
    <row r="135" s="13" customFormat="1" x14ac:dyDescent="0.2"/>
    <row r="136" s="13" customFormat="1" x14ac:dyDescent="0.2"/>
    <row r="137" s="13" customFormat="1" x14ac:dyDescent="0.2"/>
    <row r="138" s="13" customFormat="1" x14ac:dyDescent="0.2"/>
    <row r="139" s="13" customFormat="1" x14ac:dyDescent="0.2"/>
    <row r="140" s="13" customFormat="1" x14ac:dyDescent="0.2"/>
    <row r="141" s="13" customFormat="1" x14ac:dyDescent="0.2"/>
    <row r="142" s="13" customFormat="1" x14ac:dyDescent="0.2"/>
    <row r="143" s="13" customFormat="1" x14ac:dyDescent="0.2"/>
    <row r="144" s="13" customFormat="1" x14ac:dyDescent="0.2"/>
    <row r="145" s="13" customFormat="1" x14ac:dyDescent="0.2"/>
    <row r="146" s="13" customFormat="1" x14ac:dyDescent="0.2"/>
    <row r="147" s="13" customFormat="1" x14ac:dyDescent="0.2"/>
    <row r="148" s="13" customFormat="1" x14ac:dyDescent="0.2"/>
    <row r="149" s="13" customFormat="1" x14ac:dyDescent="0.2"/>
    <row r="150" s="13" customFormat="1" x14ac:dyDescent="0.2"/>
    <row r="151" s="13" customFormat="1" x14ac:dyDescent="0.2"/>
    <row r="152" s="13" customFormat="1" x14ac:dyDescent="0.2"/>
    <row r="153" s="13" customFormat="1" x14ac:dyDescent="0.2"/>
    <row r="154" s="13" customFormat="1" x14ac:dyDescent="0.2"/>
    <row r="155" s="13" customFormat="1" x14ac:dyDescent="0.2"/>
    <row r="156" s="13" customFormat="1" x14ac:dyDescent="0.2"/>
    <row r="157" s="13" customFormat="1" x14ac:dyDescent="0.2"/>
    <row r="158" s="13" customFormat="1" x14ac:dyDescent="0.2"/>
    <row r="159" s="13" customFormat="1" x14ac:dyDescent="0.2"/>
    <row r="160" s="13" customFormat="1" x14ac:dyDescent="0.2"/>
    <row r="161" s="13" customFormat="1" x14ac:dyDescent="0.2"/>
    <row r="162" s="13" customFormat="1" x14ac:dyDescent="0.2"/>
    <row r="163" s="13" customFormat="1" x14ac:dyDescent="0.2"/>
    <row r="164" s="13" customFormat="1" x14ac:dyDescent="0.2"/>
    <row r="165" s="13" customFormat="1" x14ac:dyDescent="0.2"/>
    <row r="166" s="13" customFormat="1" x14ac:dyDescent="0.2"/>
    <row r="167" s="13" customFormat="1" x14ac:dyDescent="0.2"/>
    <row r="168" s="13" customFormat="1" x14ac:dyDescent="0.2"/>
    <row r="169" s="13" customFormat="1" x14ac:dyDescent="0.2"/>
    <row r="170" s="13" customFormat="1" x14ac:dyDescent="0.2"/>
    <row r="171" s="13" customFormat="1" x14ac:dyDescent="0.2"/>
    <row r="172" s="13" customFormat="1" x14ac:dyDescent="0.2"/>
    <row r="173" s="13" customFormat="1" x14ac:dyDescent="0.2"/>
    <row r="174" s="13" customFormat="1" x14ac:dyDescent="0.2"/>
    <row r="175" s="13" customFormat="1" x14ac:dyDescent="0.2"/>
    <row r="176" s="13" customFormat="1" x14ac:dyDescent="0.2"/>
    <row r="177" s="13" customFormat="1" x14ac:dyDescent="0.2"/>
    <row r="178" s="13" customFormat="1" x14ac:dyDescent="0.2"/>
    <row r="179" s="13" customFormat="1" x14ac:dyDescent="0.2"/>
    <row r="180" s="13" customFormat="1" x14ac:dyDescent="0.2"/>
    <row r="181" s="13" customFormat="1" x14ac:dyDescent="0.2"/>
    <row r="182" s="13" customFormat="1" x14ac:dyDescent="0.2"/>
    <row r="183" s="13" customFormat="1" x14ac:dyDescent="0.2"/>
    <row r="184" s="13" customFormat="1" x14ac:dyDescent="0.2"/>
    <row r="185" s="13" customFormat="1" x14ac:dyDescent="0.2"/>
    <row r="186" s="13" customFormat="1" x14ac:dyDescent="0.2"/>
    <row r="187" s="13" customFormat="1" x14ac:dyDescent="0.2"/>
    <row r="188" s="13" customFormat="1" x14ac:dyDescent="0.2"/>
    <row r="189" s="13" customFormat="1" x14ac:dyDescent="0.2"/>
    <row r="190" s="13" customFormat="1" x14ac:dyDescent="0.2"/>
    <row r="191" s="13" customFormat="1" x14ac:dyDescent="0.2"/>
    <row r="192" s="13" customFormat="1" x14ac:dyDescent="0.2"/>
    <row r="193" s="13" customFormat="1" x14ac:dyDescent="0.2"/>
    <row r="194" s="13" customFormat="1" x14ac:dyDescent="0.2"/>
    <row r="195" s="13" customFormat="1" x14ac:dyDescent="0.2"/>
    <row r="196" s="13" customFormat="1" x14ac:dyDescent="0.2"/>
    <row r="197" s="13" customFormat="1" x14ac:dyDescent="0.2"/>
    <row r="198" s="13" customFormat="1" x14ac:dyDescent="0.2"/>
    <row r="199" s="13" customFormat="1" x14ac:dyDescent="0.2"/>
    <row r="200" s="13" customFormat="1" x14ac:dyDescent="0.2"/>
    <row r="201" s="13" customFormat="1" x14ac:dyDescent="0.2"/>
    <row r="202" s="13" customFormat="1" x14ac:dyDescent="0.2"/>
    <row r="203" s="13" customFormat="1" x14ac:dyDescent="0.2"/>
    <row r="204" s="13" customFormat="1" x14ac:dyDescent="0.2"/>
    <row r="205" s="13" customFormat="1" x14ac:dyDescent="0.2"/>
    <row r="206" s="13" customFormat="1" x14ac:dyDescent="0.2"/>
    <row r="207" s="13" customFormat="1" x14ac:dyDescent="0.2"/>
    <row r="208" s="13" customFormat="1" x14ac:dyDescent="0.2"/>
    <row r="209" s="13" customFormat="1" x14ac:dyDescent="0.2"/>
    <row r="210" s="13" customFormat="1" x14ac:dyDescent="0.2"/>
    <row r="211" s="13" customFormat="1" x14ac:dyDescent="0.2"/>
    <row r="212" s="13" customFormat="1" x14ac:dyDescent="0.2"/>
    <row r="213" s="13" customFormat="1" x14ac:dyDescent="0.2"/>
    <row r="214" s="13" customFormat="1" x14ac:dyDescent="0.2"/>
    <row r="215" s="13" customFormat="1" x14ac:dyDescent="0.2"/>
    <row r="216" s="13" customFormat="1" x14ac:dyDescent="0.2"/>
    <row r="217" s="13" customFormat="1" x14ac:dyDescent="0.2"/>
    <row r="218" s="13" customFormat="1" x14ac:dyDescent="0.2"/>
    <row r="219" s="13" customFormat="1" x14ac:dyDescent="0.2"/>
    <row r="220" s="13" customFormat="1" x14ac:dyDescent="0.2"/>
    <row r="221" s="13" customFormat="1" x14ac:dyDescent="0.2"/>
    <row r="222" s="13" customFormat="1" x14ac:dyDescent="0.2"/>
    <row r="223" s="13" customFormat="1" x14ac:dyDescent="0.2"/>
  </sheetData>
  <mergeCells count="65">
    <mergeCell ref="A57:H57"/>
    <mergeCell ref="A55:G55"/>
    <mergeCell ref="AT55:AY55"/>
    <mergeCell ref="AZ55:BA55"/>
    <mergeCell ref="A56:G56"/>
    <mergeCell ref="AT56:AY56"/>
    <mergeCell ref="AZ56:BA56"/>
    <mergeCell ref="A52:G52"/>
    <mergeCell ref="A53:H53"/>
    <mergeCell ref="A54:H54"/>
    <mergeCell ref="AT54:AY54"/>
    <mergeCell ref="AK9:AK11"/>
    <mergeCell ref="AL9:AL11"/>
    <mergeCell ref="AM9:AM11"/>
    <mergeCell ref="AN9:AN11"/>
    <mergeCell ref="AO9:AO11"/>
    <mergeCell ref="AP9:AP11"/>
    <mergeCell ref="AE9:AE11"/>
    <mergeCell ref="AF9:AF11"/>
    <mergeCell ref="AG9:AG11"/>
    <mergeCell ref="AH9:AH11"/>
    <mergeCell ref="AI9:AI11"/>
    <mergeCell ref="AZ54:BA54"/>
    <mergeCell ref="AQ9:AQ11"/>
    <mergeCell ref="AR9:AR11"/>
    <mergeCell ref="AS9:AS11"/>
    <mergeCell ref="AT9:AY9"/>
    <mergeCell ref="AZ9:AZ11"/>
    <mergeCell ref="BA9:BA11"/>
    <mergeCell ref="AT10:AU10"/>
    <mergeCell ref="AV10:AV11"/>
    <mergeCell ref="AW10:AW11"/>
    <mergeCell ref="AX10:AX11"/>
    <mergeCell ref="AY10:AY11"/>
    <mergeCell ref="AJ9:AJ11"/>
    <mergeCell ref="Y9:Y11"/>
    <mergeCell ref="Z9:Z11"/>
    <mergeCell ref="AA9:AA11"/>
    <mergeCell ref="AB9:AB11"/>
    <mergeCell ref="AC9:AC11"/>
    <mergeCell ref="AD9:AD11"/>
    <mergeCell ref="X9:X11"/>
    <mergeCell ref="M9:M11"/>
    <mergeCell ref="N9:N11"/>
    <mergeCell ref="O9:O11"/>
    <mergeCell ref="P9:P11"/>
    <mergeCell ref="Q9:Q11"/>
    <mergeCell ref="R9:R11"/>
    <mergeCell ref="S9:S11"/>
    <mergeCell ref="T9:T11"/>
    <mergeCell ref="U9:U11"/>
    <mergeCell ref="V9:V11"/>
    <mergeCell ref="W9:W11"/>
    <mergeCell ref="L9:L11"/>
    <mergeCell ref="A9:A11"/>
    <mergeCell ref="B9:B11"/>
    <mergeCell ref="C9:C11"/>
    <mergeCell ref="D9:D11"/>
    <mergeCell ref="E9:E11"/>
    <mergeCell ref="F9:F11"/>
    <mergeCell ref="G9:G11"/>
    <mergeCell ref="H9:H11"/>
    <mergeCell ref="I9:I11"/>
    <mergeCell ref="J9:J11"/>
    <mergeCell ref="K9:K11"/>
  </mergeCells>
  <pageMargins left="0.59055118110236227" right="0" top="0" bottom="0" header="0" footer="0"/>
  <pageSetup paperSize="12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MIP2790</vt:lpstr>
      <vt:lpstr>'MIP2790'!Área_de_impresión</vt:lpstr>
      <vt:lpstr>MIPK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Cruz</dc:creator>
  <cp:lastModifiedBy>Miguel Cruz</cp:lastModifiedBy>
  <dcterms:created xsi:type="dcterms:W3CDTF">2020-03-13T18:56:16Z</dcterms:created>
  <dcterms:modified xsi:type="dcterms:W3CDTF">2026-02-23T19:59:59Z</dcterms:modified>
</cp:coreProperties>
</file>